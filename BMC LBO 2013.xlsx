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<sst xmlns="http://schemas.openxmlformats.org/spreadsheetml/2006/main" count="330" uniqueCount="205">
  <si>
    <t xml:space="preserve">  BMC SoftWare 2013  -  Leveraged Buyout Model</t>
  </si>
  <si>
    <t>*</t>
  </si>
  <si>
    <t>Assumptions</t>
  </si>
  <si>
    <t>($ in millions)</t>
  </si>
  <si>
    <t>Assumption</t>
  </si>
  <si>
    <t>Downside</t>
  </si>
  <si>
    <t>Base</t>
  </si>
  <si>
    <t>Upside</t>
  </si>
  <si>
    <t>Selected Case</t>
  </si>
  <si>
    <t>Exit Assumptions</t>
  </si>
  <si>
    <t>Revenue Growth</t>
  </si>
  <si>
    <t>Hold Period</t>
  </si>
  <si>
    <t>5 Years</t>
  </si>
  <si>
    <t>EBITDA Margin</t>
  </si>
  <si>
    <t>Exit EV/EBITDA Multiple</t>
  </si>
  <si>
    <t>Exit Multiple</t>
  </si>
  <si>
    <t>8.0x</t>
  </si>
  <si>
    <t>10.3x</t>
  </si>
  <si>
    <t>11.5x</t>
  </si>
  <si>
    <t>Transaction</t>
  </si>
  <si>
    <t>Operating Assumtions</t>
  </si>
  <si>
    <t>Debt Assumptions</t>
  </si>
  <si>
    <t>Share Price Paid</t>
  </si>
  <si>
    <t>Revenue Growth Rate</t>
  </si>
  <si>
    <t>Revolver Size</t>
  </si>
  <si>
    <t>Diluted Shares</t>
  </si>
  <si>
    <t>Revolver Drawn at Close</t>
  </si>
  <si>
    <t>Equity Purchase Price</t>
  </si>
  <si>
    <t>D&amp;A % of Revenue</t>
  </si>
  <si>
    <t>Term Loan B</t>
  </si>
  <si>
    <t>Net Debt</t>
  </si>
  <si>
    <t>CapEX % of Revenue</t>
  </si>
  <si>
    <t>Term Loan B Rate</t>
  </si>
  <si>
    <t>Enterprise Value</t>
  </si>
  <si>
    <t>Change in Working Capital</t>
  </si>
  <si>
    <t>Senior Notes</t>
  </si>
  <si>
    <t>EBITDA</t>
  </si>
  <si>
    <t>Senior Notes Rate</t>
  </si>
  <si>
    <t>Entry EV/EBITDA</t>
  </si>
  <si>
    <t>Mandatory Amortization</t>
  </si>
  <si>
    <t>Second Lien</t>
  </si>
  <si>
    <t>Second LIen Rate</t>
  </si>
  <si>
    <t>Sources &amp; Uses</t>
  </si>
  <si>
    <t>Uses</t>
  </si>
  <si>
    <t>Sources</t>
  </si>
  <si>
    <t>Repay Existing Debt</t>
  </si>
  <si>
    <t>Transaction Fees</t>
  </si>
  <si>
    <t>Sponsor Equity</t>
  </si>
  <si>
    <t>Financing Fees</t>
  </si>
  <si>
    <t>Total Sources</t>
  </si>
  <si>
    <t>Total Uses</t>
  </si>
  <si>
    <t>Equity % of Total</t>
  </si>
  <si>
    <t>Debt/EBITDA</t>
  </si>
  <si>
    <t>7.9x</t>
  </si>
  <si>
    <t>Income Statement</t>
  </si>
  <si>
    <t>2013A</t>
  </si>
  <si>
    <t>2014E</t>
  </si>
  <si>
    <t>2015E</t>
  </si>
  <si>
    <t>2016E</t>
  </si>
  <si>
    <t>2017E</t>
  </si>
  <si>
    <t>2018E</t>
  </si>
  <si>
    <t>Revenue</t>
  </si>
  <si>
    <t>EBITDA Margin %</t>
  </si>
  <si>
    <t>D&amp;A</t>
  </si>
  <si>
    <t>EBIT</t>
  </si>
  <si>
    <t>Interest Expense</t>
  </si>
  <si>
    <t>EBT</t>
  </si>
  <si>
    <t>Taxes</t>
  </si>
  <si>
    <t>Net Income</t>
  </si>
  <si>
    <t>Debt Schedule</t>
  </si>
  <si>
    <t>Beginning Balance</t>
  </si>
  <si>
    <t>Cash Sweep</t>
  </si>
  <si>
    <t>Ending Balance</t>
  </si>
  <si>
    <t>Total Debt</t>
  </si>
  <si>
    <t>Total Interest Expense</t>
  </si>
  <si>
    <t>Balance Sheet</t>
  </si>
  <si>
    <t>Assets</t>
  </si>
  <si>
    <t>Receivables</t>
  </si>
  <si>
    <t>PP&amp;E (gross)</t>
  </si>
  <si>
    <t>Accumulated D&amp;A</t>
  </si>
  <si>
    <t>PP&amp;E (net)</t>
  </si>
  <si>
    <t>Cash</t>
  </si>
  <si>
    <t>Goodwill</t>
  </si>
  <si>
    <t>Total Assets</t>
  </si>
  <si>
    <t>Liabilities</t>
  </si>
  <si>
    <t>Payables</t>
  </si>
  <si>
    <t>Accrued expenses</t>
  </si>
  <si>
    <t>Total Liabilities</t>
  </si>
  <si>
    <t>Equity</t>
  </si>
  <si>
    <t>Entry Sponsor Equity</t>
  </si>
  <si>
    <t>Retained Earnings</t>
  </si>
  <si>
    <t>Total Equity</t>
  </si>
  <si>
    <t>Cash Flow Statement</t>
  </si>
  <si>
    <t>Operating Activities</t>
  </si>
  <si>
    <t>Add: D&amp;A</t>
  </si>
  <si>
    <t>Less: CapEx</t>
  </si>
  <si>
    <t>Less: Change in Working Capital</t>
  </si>
  <si>
    <t>Free Cash Flow</t>
  </si>
  <si>
    <t>Less: Mandatory Amortization</t>
  </si>
  <si>
    <t>Excess Cash Flow</t>
  </si>
  <si>
    <t>Investing Activities</t>
  </si>
  <si>
    <t>CapEx</t>
  </si>
  <si>
    <t>Financing Activities</t>
  </si>
  <si>
    <t>Add: Term Loan B proceeds</t>
  </si>
  <si>
    <t>-</t>
  </si>
  <si>
    <t>Add: Sponsor Equity</t>
  </si>
  <si>
    <t>Add: Senior Notes Proceeds</t>
  </si>
  <si>
    <t>Add: Second Lien Proceeds</t>
  </si>
  <si>
    <t>Less: Equity Purchase Price</t>
  </si>
  <si>
    <t>Less: Repay Existing Debt</t>
  </si>
  <si>
    <t>Less: Transaction Fees</t>
  </si>
  <si>
    <t>Less: Financing Fees</t>
  </si>
  <si>
    <t>Less: Interest Paid</t>
  </si>
  <si>
    <t>Financing Cash Flow</t>
  </si>
  <si>
    <t>Net Change in Cash</t>
  </si>
  <si>
    <t>Reconciliation</t>
  </si>
  <si>
    <t>Opening Cash</t>
  </si>
  <si>
    <t>Add: Net Change in Cash</t>
  </si>
  <si>
    <t>Ending Cash</t>
  </si>
  <si>
    <t>Returns Calculations</t>
  </si>
  <si>
    <t>Entry Year 2013   -   Exit Year 2018   -   Hold Period: 5 Years</t>
  </si>
  <si>
    <t>Value</t>
  </si>
  <si>
    <t>Exit EBITDA</t>
  </si>
  <si>
    <t>Entry Equity</t>
  </si>
  <si>
    <t>MOIC</t>
  </si>
  <si>
    <t>1.01x</t>
  </si>
  <si>
    <t>2.07x</t>
  </si>
  <si>
    <t>Exit TEV</t>
  </si>
  <si>
    <t>EBITDA Growth</t>
  </si>
  <si>
    <t>IRR</t>
  </si>
  <si>
    <t>Exit Net Debt</t>
  </si>
  <si>
    <t>Multiple Expansion</t>
  </si>
  <si>
    <t>Exit Equity Value</t>
  </si>
  <si>
    <t>Debt Paydown</t>
  </si>
  <si>
    <t>Fees Drag</t>
  </si>
  <si>
    <t>Exit Equity</t>
  </si>
  <si>
    <t>Sensitivity</t>
  </si>
  <si>
    <t>IRR across Entry vs Exit Multiple</t>
  </si>
  <si>
    <t>IRR across Revenue Growth vs Exit Multiple</t>
  </si>
  <si>
    <t>7.0x</t>
  </si>
  <si>
    <t>9.0x</t>
  </si>
  <si>
    <t>11.0x</t>
  </si>
  <si>
    <t>Cover</t>
  </si>
  <si>
    <r>
      <rPr>
        <rFont val="Arial"/>
        <b/>
        <color rgb="FF073763"/>
        <sz val="18.0"/>
      </rPr>
      <t xml:space="preserve">BMC Software, INC. Leveraged Buyout Analysis - 2013           </t>
    </r>
    <r>
      <rPr>
        <rFont val="Arial"/>
        <i/>
        <color rgb="FF666666"/>
        <sz val="13.0"/>
      </rPr>
      <t xml:space="preserve"> </t>
    </r>
  </si>
  <si>
    <t>Project Analysis / September 2013                 ($ in millions)</t>
  </si>
  <si>
    <t>Transaction Overview</t>
  </si>
  <si>
    <t>Key Returns</t>
  </si>
  <si>
    <t>Company Description</t>
  </si>
  <si>
    <t>Company: BMC Software INC.</t>
  </si>
  <si>
    <t>Entry Multiple: 10.3x</t>
  </si>
  <si>
    <t xml:space="preserve">BMC Software was a leading provider of enterprise IT management software, </t>
  </si>
  <si>
    <t>Date: September 2013</t>
  </si>
  <si>
    <t>Exit Multiple: 10.3</t>
  </si>
  <si>
    <t>serving large multinational corporations across infrastructure, cloud, and serving</t>
  </si>
  <si>
    <t>Buyer: Bain Capital, Golden Gate, Insight, GIC</t>
  </si>
  <si>
    <t>MOIC: 1.87x</t>
  </si>
  <si>
    <t>management. The company generates approximately $2.2B in annual revenue with</t>
  </si>
  <si>
    <t>TEV: $7,128 Million</t>
  </si>
  <si>
    <t>IRR: 13.4%</t>
  </si>
  <si>
    <t>a high proportion of recurring maintenance and license fees, resulting in a</t>
  </si>
  <si>
    <t>Entry Multiple: 10.3x EBITDA</t>
  </si>
  <si>
    <t>Hold Period: 5 Years</t>
  </si>
  <si>
    <t xml:space="preserve">predictable and defensible revenue base. BMC's sticky enterprise customer </t>
  </si>
  <si>
    <t>relationships and high switching costs support consistent EBITDA margins of</t>
  </si>
  <si>
    <t>approximately 31.5% and low capital expenditure requirements of 1.1% of revenue.</t>
  </si>
  <si>
    <t>Investment Thesis</t>
  </si>
  <si>
    <t>Capital Structure</t>
  </si>
  <si>
    <r>
      <rPr>
        <rFont val="Arial"/>
        <i/>
        <color theme="1"/>
        <sz val="10.0"/>
      </rPr>
      <t>Defensive recurring revenue base</t>
    </r>
    <r>
      <rPr>
        <rFont val="Arial"/>
        <color theme="1"/>
        <sz val="10.0"/>
      </rPr>
      <t>. BMC's enterprise software model generates highly predictable revenue streams</t>
    </r>
  </si>
  <si>
    <t>underpinned by multi-year maintenance contracts with large institutional customers.The high switching costs associated</t>
  </si>
  <si>
    <t>with deeply embedded IT management software create natural barriers to churn, supporting revenue visibility throughout</t>
  </si>
  <si>
    <t>the hold period.</t>
  </si>
  <si>
    <t>Total</t>
  </si>
  <si>
    <r>
      <rPr>
        <rFont val="Arial"/>
        <i/>
        <color theme="1"/>
        <sz val="10.0"/>
      </rPr>
      <t>Strong free cash flow conversion</t>
    </r>
    <r>
      <rPr>
        <rFont val="Arial"/>
        <color theme="1"/>
        <sz val="10.0"/>
      </rPr>
      <t xml:space="preserve">. The combination of a 31.5% EBITDA margin and minimal capital intensity produces </t>
    </r>
  </si>
  <si>
    <t xml:space="preserve">approximately $340M of free cash flow in year one, growing steadily to over $550Mby year five as operating leverage </t>
  </si>
  <si>
    <t xml:space="preserve">Total debt at entry of $5,980M represents 7.9x LTM EBITDA. </t>
  </si>
  <si>
    <t>compounds. This cash generation capacity supports aggressive debt service without operational strain.</t>
  </si>
  <si>
    <t>The Term Loan B benefits from a cash sweep mechanism that</t>
  </si>
  <si>
    <t>accelerates paydown as free cash flow builds, reducing the TLB</t>
  </si>
  <si>
    <r>
      <rPr>
        <rFont val="Arial"/>
        <i/>
        <color theme="1"/>
        <sz val="10.0"/>
      </rPr>
      <t>Compelling deleveraging story.</t>
    </r>
    <r>
      <rPr>
        <rFont val="Arial"/>
        <color theme="1"/>
        <sz val="10.0"/>
      </rPr>
      <t xml:space="preserve"> Entry leverage of 7.9x EBITDA declines meaningfully over the five year hold period as</t>
    </r>
  </si>
  <si>
    <t>balance from $3,800M at close to approximately $1,761M at exit.</t>
  </si>
  <si>
    <t xml:space="preserve">excess cash flow is swept against the Term Loan B. By exit the capital structure is substantially deleveraged, with the </t>
  </si>
  <si>
    <t xml:space="preserve">debt paydown contributing approximately $2,189M of equity value creation in the base case, representing the single largest </t>
  </si>
  <si>
    <t>driver of sponsor returns.</t>
  </si>
  <si>
    <t>Key Risks</t>
  </si>
  <si>
    <t>Returns Summary</t>
  </si>
  <si>
    <r>
      <rPr>
        <rFont val="Arial"/>
        <i/>
        <color theme="1"/>
      </rPr>
      <t>Multiple compression</t>
    </r>
    <r>
      <rPr>
        <rFont val="Arial"/>
        <color theme="1"/>
      </rPr>
      <t>. The transaction's return profile is highly sensitive to exit multiple assumptions. In the downside scenario an exit</t>
    </r>
  </si>
  <si>
    <t>RevenueGrowth</t>
  </si>
  <si>
    <t>at 8.0x, a two turn compression from entry reduces IRR to 0.2% and MOIC to barely above 1.0x, representing a near total loss of return</t>
  </si>
  <si>
    <t>EBITDA MArgin</t>
  </si>
  <si>
    <t>for the sponsor. This sensitivity underscores the importance of multiple support at exit.</t>
  </si>
  <si>
    <t>1.87x</t>
  </si>
  <si>
    <r>
      <rPr>
        <rFont val="Arial"/>
        <i/>
        <color theme="1"/>
      </rPr>
      <t>Cloud substitution risk</t>
    </r>
    <r>
      <rPr>
        <rFont val="Arial"/>
        <color theme="1"/>
      </rPr>
      <t>. The 2013–2018 hold period coincides with accelerating enterprise cloud adoption. BMC's traditional on-premise</t>
    </r>
  </si>
  <si>
    <t>IT management software faces structural headwinds as customers migrate workloads to AWS, Azure, and Google Cloud, potentially</t>
  </si>
  <si>
    <t>pressuring both revenue growth and renewal rates beyond the model's 4.0% base case assumption.</t>
  </si>
  <si>
    <t xml:space="preserve">The base case delivers an 13.4% IRR and 1.87x MOIC over a five year hold period, </t>
  </si>
  <si>
    <t>driven primarily by debt paydown ($2,457M) and EBITDA growth ($1,538M).</t>
  </si>
  <si>
    <t>High leverage leaves limited downside protection. Entry leverage of 7.9x EBITDA with an additional second lien tranche at 10.0% leaves</t>
  </si>
  <si>
    <t>Multiple expansion contributes nothing in the base case as entry and exit multiples</t>
  </si>
  <si>
    <t xml:space="preserve">minimal margin for operational underperformance. A sustained revenue decline or margin compression would rapidly erode FCF and </t>
  </si>
  <si>
    <t>are held constant at 10.3x. The upside case of 15.7% IRR assumes modest multiple</t>
  </si>
  <si>
    <t>threaten debt service capacity, particularly in the early years of the hold period when the debt burden is heaviest.</t>
  </si>
  <si>
    <t>expansion and stronger revenue growth, while the downside highlights the deal's</t>
  </si>
  <si>
    <t>vulnerability to multiple compression at exit.</t>
  </si>
  <si>
    <t>Prepared by Christian Rojas Jardines</t>
  </si>
  <si>
    <t>For educational purposes only. Not investment advice.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</si>
</sst>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%"/>
    <numFmt numFmtId="165" formatCode="&quot;$&quot;#,##0.0"/>
    <numFmt numFmtId="166" formatCode="&quot;$&quot;#,##0"/>
    <numFmt numFmtId="167" formatCode="&quot;$&quot;#,##0.00"/>
    <numFmt numFmtId="168" formatCode="mmmm d, yyyy"/>
  </numFmts>
  <fonts count="23">
    <font>
      <sz val="10.0"/>
      <color rgb="FF000000"/>
      <name val="Arial"/>
      <scheme val="minor"/>
    </font>
    <font>
      <color theme="1"/>
      <name val="Arial"/>
      <scheme val="minor"/>
    </font>
    <font>
      <b/>
      <sz val="15.0"/>
      <color rgb="FF351C75"/>
      <name val="Arial"/>
      <scheme val="minor"/>
    </font>
    <font/>
    <font>
      <i/>
      <color rgb="FF666666"/>
      <name val="Arial"/>
      <scheme val="minor"/>
    </font>
    <font>
      <b/>
      <color theme="1"/>
      <name val="Arial"/>
      <scheme val="minor"/>
    </font>
    <font>
      <b/>
      <sz val="12.0"/>
      <color rgb="FFFFFFFF"/>
      <name val="Arial"/>
      <scheme val="minor"/>
    </font>
    <font>
      <i/>
      <sz val="10.0"/>
      <color rgb="FF666666"/>
      <name val="Arial"/>
      <scheme val="minor"/>
    </font>
    <font>
      <b/>
      <color theme="1"/>
      <name val="Arial"/>
    </font>
    <font>
      <color theme="1"/>
      <name val="Arial"/>
    </font>
    <font>
      <b/>
      <color rgb="FF000000"/>
      <name val="Arial"/>
      <scheme val="minor"/>
    </font>
    <font>
      <b/>
      <sz val="11.0"/>
      <color rgb="FFFFFFFF"/>
      <name val="Arial"/>
      <scheme val="minor"/>
    </font>
    <font>
      <b/>
      <sz val="18.0"/>
      <color theme="1"/>
      <name val="Arial"/>
      <scheme val="minor"/>
    </font>
    <font>
      <b/>
      <sz val="18.0"/>
      <color rgb="FF073763"/>
      <name val="Arial"/>
      <scheme val="minor"/>
    </font>
    <font>
      <b/>
      <sz val="10.0"/>
      <color rgb="FF000000"/>
      <name val="Arial"/>
      <scheme val="minor"/>
    </font>
    <font>
      <sz val="10.0"/>
      <color theme="1"/>
      <name val="Arial"/>
      <scheme val="minor"/>
    </font>
    <font>
      <sz val="10.0"/>
      <color rgb="FF073763"/>
      <name val="Arial"/>
      <scheme val="minor"/>
    </font>
    <font>
      <i/>
      <color theme="1"/>
      <name val="Arial"/>
      <scheme val="minor"/>
    </font>
    <font>
      <b/>
      <i/>
      <sz val="18.0"/>
      <color rgb="FF073763"/>
      <name val="Arial"/>
      <scheme val="minor"/>
    </font>
    <font>
      <i/>
      <sz val="10.0"/>
      <color rgb="FF000000"/>
      <name val="Arial"/>
      <scheme val="minor"/>
    </font>
    <font>
      <i/>
      <color theme="1"/>
      <name val="Arial"/>
    </font>
    <font>
      <b/>
      <sz val="10.0"/>
      <color rgb="FF073763"/>
      <name val="Arial"/>
      <scheme val="minor"/>
    </font>
    <font>
      <b/>
      <sz val="10.0"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2A6099"/>
        <bgColor rgb="FF2A6099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00A933"/>
        <bgColor rgb="FF00A933"/>
      </patternFill>
    </fill>
    <fill>
      <patternFill patternType="solid">
        <fgColor rgb="FFFF8000"/>
        <bgColor rgb="FFFF8000"/>
      </patternFill>
    </fill>
    <fill>
      <patternFill patternType="solid">
        <fgColor rgb="FF999999"/>
        <bgColor rgb="FF999999"/>
      </patternFill>
    </fill>
    <fill>
      <patternFill patternType="solid">
        <fgColor rgb="FFFF0000"/>
        <bgColor rgb="FFFF0000"/>
      </patternFill>
    </fill>
    <fill>
      <patternFill patternType="solid">
        <fgColor rgb="FF650953"/>
        <bgColor rgb="FF650953"/>
      </patternFill>
    </fill>
    <fill>
      <patternFill patternType="solid">
        <fgColor rgb="FFDD7E6B"/>
        <bgColor rgb="FFDD7E6B"/>
      </patternFill>
    </fill>
    <fill>
      <patternFill patternType="solid">
        <fgColor rgb="FFFFD966"/>
        <bgColor rgb="FFFFD966"/>
      </patternFill>
    </fill>
    <fill>
      <patternFill patternType="solid">
        <fgColor rgb="FF333333"/>
        <bgColor rgb="FF333333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2" fontId="1" numFmtId="0" xfId="0" applyAlignment="1" applyFill="1" applyFont="1">
      <alignment horizontal="left"/>
    </xf>
    <xf borderId="0" fillId="2" fontId="2" numFmtId="0" xfId="0" applyAlignment="1" applyFont="1">
      <alignment horizontal="center" readingOrder="0"/>
    </xf>
    <xf borderId="1" fillId="3" fontId="2" numFmtId="0" xfId="0" applyAlignment="1" applyBorder="1" applyFill="1" applyFont="1">
      <alignment horizontal="left" readingOrder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center" readingOrder="0"/>
    </xf>
    <xf borderId="4" fillId="4" fontId="6" numFmtId="0" xfId="0" applyAlignment="1" applyBorder="1" applyFill="1" applyFont="1">
      <alignment horizontal="left" readingOrder="0"/>
    </xf>
    <xf borderId="5" fillId="4" fontId="1" numFmtId="0" xfId="0" applyAlignment="1" applyBorder="1" applyFont="1">
      <alignment horizontal="left"/>
    </xf>
    <xf borderId="6" fillId="4" fontId="1" numFmtId="0" xfId="0" applyAlignment="1" applyBorder="1" applyFont="1">
      <alignment horizontal="left"/>
    </xf>
    <xf borderId="5" fillId="2" fontId="7" numFmtId="0" xfId="0" applyAlignment="1" applyBorder="1" applyFont="1">
      <alignment horizontal="left" readingOrder="0"/>
    </xf>
    <xf borderId="5" fillId="2" fontId="1" numFmtId="0" xfId="0" applyAlignment="1" applyBorder="1" applyFont="1">
      <alignment horizontal="left"/>
    </xf>
    <xf borderId="0" fillId="2" fontId="6" numFmtId="0" xfId="0" applyAlignment="1" applyFont="1">
      <alignment horizontal="left" readingOrder="0"/>
    </xf>
    <xf borderId="1" fillId="5" fontId="5" numFmtId="0" xfId="0" applyAlignment="1" applyBorder="1" applyFill="1" applyFont="1">
      <alignment horizontal="center" readingOrder="0"/>
    </xf>
    <xf borderId="7" fillId="5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1" fillId="5" fontId="8" numFmtId="0" xfId="0" applyAlignment="1" applyBorder="1" applyFont="1">
      <alignment horizontal="center" vertical="bottom"/>
    </xf>
    <xf borderId="0" fillId="0" fontId="1" numFmtId="0" xfId="0" applyAlignment="1" applyFont="1">
      <alignment horizontal="center" readingOrder="0"/>
    </xf>
    <xf borderId="1" fillId="6" fontId="1" numFmtId="0" xfId="0" applyAlignment="1" applyBorder="1" applyFill="1" applyFont="1">
      <alignment horizontal="left" readingOrder="0"/>
    </xf>
    <xf borderId="7" fillId="0" fontId="1" numFmtId="164" xfId="0" applyAlignment="1" applyBorder="1" applyFont="1" applyNumberFormat="1">
      <alignment horizontal="right" readingOrder="0"/>
    </xf>
    <xf borderId="0" fillId="2" fontId="1" numFmtId="0" xfId="0" applyAlignment="1" applyFont="1">
      <alignment horizontal="left" readingOrder="0"/>
    </xf>
    <xf borderId="1" fillId="6" fontId="9" numFmtId="0" xfId="0" applyAlignment="1" applyBorder="1" applyFont="1">
      <alignment vertical="bottom"/>
    </xf>
    <xf borderId="7" fillId="0" fontId="9" numFmtId="0" xfId="0" applyAlignment="1" applyBorder="1" applyFont="1">
      <alignment horizontal="right" vertical="bottom"/>
    </xf>
    <xf borderId="7" fillId="0" fontId="1" numFmtId="0" xfId="0" applyAlignment="1" applyBorder="1" applyFont="1">
      <alignment horizontal="right" readingOrder="0"/>
    </xf>
    <xf borderId="0" fillId="0" fontId="1" numFmtId="0" xfId="0" applyAlignment="1" applyFont="1">
      <alignment horizontal="center"/>
    </xf>
    <xf borderId="8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left"/>
    </xf>
    <xf borderId="8" fillId="0" fontId="1" numFmtId="0" xfId="0" applyAlignment="1" applyBorder="1" applyFont="1">
      <alignment horizontal="center"/>
    </xf>
    <xf borderId="1" fillId="5" fontId="1" numFmtId="0" xfId="0" applyAlignment="1" applyBorder="1" applyFont="1">
      <alignment horizontal="left"/>
    </xf>
    <xf borderId="2" fillId="5" fontId="5" numFmtId="0" xfId="0" applyAlignment="1" applyBorder="1" applyFont="1">
      <alignment horizontal="center" readingOrder="0"/>
    </xf>
    <xf borderId="3" fillId="5" fontId="1" numFmtId="0" xfId="0" applyAlignment="1" applyBorder="1" applyFont="1">
      <alignment horizontal="center"/>
    </xf>
    <xf borderId="7" fillId="0" fontId="1" numFmtId="2" xfId="0" applyAlignment="1" applyBorder="1" applyFont="1" applyNumberFormat="1">
      <alignment horizontal="right" readingOrder="0"/>
    </xf>
    <xf borderId="7" fillId="0" fontId="1" numFmtId="165" xfId="0" applyAlignment="1" applyBorder="1" applyFont="1" applyNumberFormat="1">
      <alignment horizontal="right" readingOrder="0"/>
    </xf>
    <xf borderId="0" fillId="2" fontId="1" numFmtId="0" xfId="0" applyAlignment="1" applyFont="1">
      <alignment horizontal="right" readingOrder="0"/>
    </xf>
    <xf borderId="7" fillId="0" fontId="1" numFmtId="166" xfId="0" applyAlignment="1" applyBorder="1" applyFont="1" applyNumberFormat="1">
      <alignment horizontal="right" readingOrder="0"/>
    </xf>
    <xf borderId="0" fillId="0" fontId="1" numFmtId="0" xfId="0" applyAlignment="1" applyFont="1">
      <alignment horizontal="right" readingOrder="0"/>
    </xf>
    <xf borderId="5" fillId="2" fontId="6" numFmtId="0" xfId="0" applyAlignment="1" applyBorder="1" applyFont="1">
      <alignment horizontal="left" readingOrder="0"/>
    </xf>
    <xf borderId="1" fillId="7" fontId="6" numFmtId="0" xfId="0" applyAlignment="1" applyBorder="1" applyFill="1" applyFont="1">
      <alignment horizontal="left" readingOrder="0"/>
    </xf>
    <xf borderId="2" fillId="7" fontId="1" numFmtId="0" xfId="0" applyAlignment="1" applyBorder="1" applyFont="1">
      <alignment horizontal="left"/>
    </xf>
    <xf borderId="3" fillId="7" fontId="1" numFmtId="0" xfId="0" applyAlignment="1" applyBorder="1" applyFont="1">
      <alignment horizontal="left"/>
    </xf>
    <xf borderId="8" fillId="0" fontId="1" numFmtId="0" xfId="0" applyAlignment="1" applyBorder="1" applyFont="1">
      <alignment horizontal="right" readingOrder="0"/>
    </xf>
    <xf borderId="8" fillId="0" fontId="1" numFmtId="0" xfId="0" applyAlignment="1" applyBorder="1" applyFont="1">
      <alignment horizontal="right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left" readingOrder="0"/>
    </xf>
    <xf borderId="0" fillId="0" fontId="1" numFmtId="165" xfId="0" applyAlignment="1" applyFont="1" applyNumberFormat="1">
      <alignment horizontal="right" readingOrder="0"/>
    </xf>
    <xf borderId="0" fillId="0" fontId="1" numFmtId="165" xfId="0" applyAlignment="1" applyFont="1" applyNumberFormat="1">
      <alignment horizontal="right"/>
    </xf>
    <xf borderId="0" fillId="0" fontId="1" numFmtId="164" xfId="0" applyAlignment="1" applyFont="1" applyNumberFormat="1">
      <alignment horizontal="right" readingOrder="0"/>
    </xf>
    <xf borderId="0" fillId="0" fontId="1" numFmtId="164" xfId="0" applyAlignment="1" applyFont="1" applyNumberFormat="1">
      <alignment horizontal="right"/>
    </xf>
    <xf borderId="1" fillId="8" fontId="6" numFmtId="0" xfId="0" applyAlignment="1" applyBorder="1" applyFill="1" applyFont="1">
      <alignment horizontal="left" readingOrder="0"/>
    </xf>
    <xf borderId="2" fillId="8" fontId="1" numFmtId="0" xfId="0" applyAlignment="1" applyBorder="1" applyFont="1">
      <alignment horizontal="left"/>
    </xf>
    <xf borderId="3" fillId="8" fontId="1" numFmtId="0" xfId="0" applyAlignment="1" applyBorder="1" applyFont="1">
      <alignment horizontal="left"/>
    </xf>
    <xf borderId="0" fillId="0" fontId="5" numFmtId="0" xfId="0" applyAlignment="1" applyFont="1">
      <alignment horizontal="left" readingOrder="0"/>
    </xf>
    <xf borderId="0" fillId="0" fontId="1" numFmtId="165" xfId="0" applyAlignment="1" applyFont="1" applyNumberFormat="1">
      <alignment horizontal="center"/>
    </xf>
    <xf borderId="1" fillId="9" fontId="6" numFmtId="0" xfId="0" applyAlignment="1" applyBorder="1" applyFill="1" applyFont="1">
      <alignment horizontal="left" readingOrder="0"/>
    </xf>
    <xf borderId="2" fillId="9" fontId="1" numFmtId="0" xfId="0" applyAlignment="1" applyBorder="1" applyFont="1">
      <alignment horizontal="left"/>
    </xf>
    <xf borderId="3" fillId="9" fontId="1" numFmtId="0" xfId="0" applyAlignment="1" applyBorder="1" applyFont="1">
      <alignment horizontal="left"/>
    </xf>
    <xf borderId="8" fillId="0" fontId="5" numFmtId="0" xfId="0" applyAlignment="1" applyBorder="1" applyFont="1">
      <alignment horizontal="left" readingOrder="0"/>
    </xf>
    <xf borderId="0" fillId="0" fontId="1" numFmtId="167" xfId="0" applyAlignment="1" applyFont="1" applyNumberFormat="1">
      <alignment horizontal="right" readingOrder="0"/>
    </xf>
    <xf borderId="0" fillId="0" fontId="1" numFmtId="166" xfId="0" applyAlignment="1" applyFont="1" applyNumberFormat="1">
      <alignment horizontal="right"/>
    </xf>
    <xf borderId="0" fillId="0" fontId="1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1" fillId="10" fontId="6" numFmtId="0" xfId="0" applyAlignment="1" applyBorder="1" applyFill="1" applyFont="1">
      <alignment horizontal="left" readingOrder="0"/>
    </xf>
    <xf borderId="2" fillId="10" fontId="1" numFmtId="0" xfId="0" applyAlignment="1" applyBorder="1" applyFont="1">
      <alignment horizontal="left"/>
    </xf>
    <xf borderId="3" fillId="10" fontId="1" numFmtId="0" xfId="0" applyAlignment="1" applyBorder="1" applyFont="1">
      <alignment horizontal="left"/>
    </xf>
    <xf borderId="0" fillId="2" fontId="1" numFmtId="0" xfId="0" applyAlignment="1" applyFont="1">
      <alignment horizontal="center"/>
    </xf>
    <xf borderId="0" fillId="2" fontId="1" numFmtId="0" xfId="0" applyAlignment="1" applyFont="1">
      <alignment horizontal="center" readingOrder="0"/>
    </xf>
    <xf borderId="8" fillId="2" fontId="1" numFmtId="0" xfId="0" applyAlignment="1" applyBorder="1" applyFont="1">
      <alignment horizontal="right" readingOrder="0"/>
    </xf>
    <xf borderId="9" fillId="0" fontId="1" numFmtId="0" xfId="0" applyAlignment="1" applyBorder="1" applyFont="1">
      <alignment horizontal="center"/>
    </xf>
    <xf borderId="3" fillId="5" fontId="10" numFmtId="0" xfId="0" applyAlignment="1" applyBorder="1" applyFont="1">
      <alignment horizontal="center" readingOrder="0"/>
    </xf>
    <xf borderId="7" fillId="5" fontId="10" numFmtId="0" xfId="0" applyAlignment="1" applyBorder="1" applyFont="1">
      <alignment horizontal="center" readingOrder="0"/>
    </xf>
    <xf borderId="0" fillId="2" fontId="1" numFmtId="165" xfId="0" applyAlignment="1" applyFont="1" applyNumberFormat="1">
      <alignment horizontal="right"/>
    </xf>
    <xf borderId="10" fillId="6" fontId="1" numFmtId="0" xfId="0" applyAlignment="1" applyBorder="1" applyFont="1">
      <alignment horizontal="left" readingOrder="0"/>
    </xf>
    <xf borderId="7" fillId="0" fontId="1" numFmtId="0" xfId="0" applyAlignment="1" applyBorder="1" applyFont="1">
      <alignment horizontal="center" readingOrder="0"/>
    </xf>
    <xf borderId="7" fillId="0" fontId="1" numFmtId="2" xfId="0" applyAlignment="1" applyBorder="1" applyFont="1" applyNumberFormat="1">
      <alignment horizontal="center"/>
    </xf>
    <xf borderId="7" fillId="6" fontId="1" numFmtId="0" xfId="0" applyAlignment="1" applyBorder="1" applyFont="1">
      <alignment horizontal="left" readingOrder="0"/>
    </xf>
    <xf borderId="7" fillId="0" fontId="1" numFmtId="164" xfId="0" applyAlignment="1" applyBorder="1" applyFont="1" applyNumberFormat="1">
      <alignment horizontal="center" readingOrder="0"/>
    </xf>
    <xf borderId="7" fillId="0" fontId="1" numFmtId="164" xfId="0" applyAlignment="1" applyBorder="1" applyFont="1" applyNumberFormat="1">
      <alignment horizontal="center"/>
    </xf>
    <xf borderId="0" fillId="2" fontId="1" numFmtId="165" xfId="0" applyAlignment="1" applyFont="1" applyNumberFormat="1">
      <alignment horizontal="right" readingOrder="0"/>
    </xf>
    <xf borderId="0" fillId="0" fontId="1" numFmtId="2" xfId="0" applyAlignment="1" applyFont="1" applyNumberFormat="1">
      <alignment horizontal="right"/>
    </xf>
    <xf borderId="1" fillId="11" fontId="11" numFmtId="0" xfId="0" applyAlignment="1" applyBorder="1" applyFill="1" applyFont="1">
      <alignment horizontal="left" readingOrder="0"/>
    </xf>
    <xf borderId="2" fillId="11" fontId="1" numFmtId="0" xfId="0" applyAlignment="1" applyBorder="1" applyFont="1">
      <alignment horizontal="left"/>
    </xf>
    <xf borderId="3" fillId="11" fontId="1" numFmtId="0" xfId="0" applyAlignment="1" applyBorder="1" applyFont="1">
      <alignment horizontal="left"/>
    </xf>
    <xf borderId="1" fillId="5" fontId="8" numFmtId="0" xfId="0" applyAlignment="1" applyBorder="1" applyFont="1">
      <alignment horizontal="center" readingOrder="0" vertical="bottom"/>
    </xf>
    <xf borderId="0" fillId="2" fontId="9" numFmtId="0" xfId="0" applyAlignment="1" applyFont="1">
      <alignment vertical="bottom"/>
    </xf>
    <xf borderId="0" fillId="2" fontId="9" numFmtId="0" xfId="0" applyAlignment="1" applyFont="1">
      <alignment horizontal="center" vertical="bottom"/>
    </xf>
    <xf borderId="0" fillId="6" fontId="9" numFmtId="0" xfId="0" applyAlignment="1" applyFont="1">
      <alignment vertical="bottom"/>
    </xf>
    <xf borderId="2" fillId="6" fontId="9" numFmtId="0" xfId="0" applyAlignment="1" applyBorder="1" applyFont="1">
      <alignment horizontal="center" vertical="bottom"/>
    </xf>
    <xf borderId="0" fillId="2" fontId="9" numFmtId="0" xfId="0" applyAlignment="1" applyFont="1">
      <alignment vertical="bottom"/>
    </xf>
    <xf borderId="0" fillId="6" fontId="9" numFmtId="0" xfId="0" applyAlignment="1" applyFont="1">
      <alignment vertical="bottom"/>
    </xf>
    <xf borderId="8" fillId="6" fontId="9" numFmtId="0" xfId="0" applyAlignment="1" applyBorder="1" applyFont="1">
      <alignment horizontal="center" vertical="bottom"/>
    </xf>
    <xf borderId="0" fillId="2" fontId="9" numFmtId="0" xfId="0" applyAlignment="1" applyFont="1">
      <alignment horizontal="center" vertical="bottom"/>
    </xf>
    <xf borderId="11" fillId="6" fontId="9" numFmtId="164" xfId="0" applyAlignment="1" applyBorder="1" applyFont="1" applyNumberFormat="1">
      <alignment horizontal="center" vertical="bottom"/>
    </xf>
    <xf borderId="0" fillId="12" fontId="9" numFmtId="164" xfId="0" applyAlignment="1" applyFill="1" applyFont="1" applyNumberFormat="1">
      <alignment horizontal="center" vertical="bottom"/>
    </xf>
    <xf borderId="0" fillId="2" fontId="9" numFmtId="9" xfId="0" applyAlignment="1" applyFont="1" applyNumberFormat="1">
      <alignment vertical="bottom"/>
    </xf>
    <xf borderId="0" fillId="6" fontId="9" numFmtId="9" xfId="0" applyAlignment="1" applyFont="1" applyNumberFormat="1">
      <alignment horizontal="center" vertical="bottom"/>
    </xf>
    <xf borderId="12" fillId="12" fontId="9" numFmtId="164" xfId="0" applyAlignment="1" applyBorder="1" applyFont="1" applyNumberFormat="1">
      <alignment horizontal="center" vertical="bottom"/>
    </xf>
    <xf borderId="0" fillId="2" fontId="9" numFmtId="164" xfId="0" applyAlignment="1" applyFont="1" applyNumberFormat="1">
      <alignment horizontal="center" vertical="bottom"/>
    </xf>
    <xf borderId="0" fillId="13" fontId="9" numFmtId="164" xfId="0" applyAlignment="1" applyFill="1" applyFont="1" applyNumberFormat="1">
      <alignment horizontal="center" vertical="bottom"/>
    </xf>
    <xf borderId="0" fillId="14" fontId="6" numFmtId="0" xfId="0" applyAlignment="1" applyFill="1" applyFont="1">
      <alignment horizontal="left" readingOrder="0"/>
    </xf>
    <xf borderId="0" fillId="14" fontId="1" numFmtId="0" xfId="0" applyAlignment="1" applyFont="1">
      <alignment horizontal="left"/>
    </xf>
    <xf borderId="11" fillId="14" fontId="1" numFmtId="0" xfId="0" applyAlignment="1" applyBorder="1" applyFont="1">
      <alignment horizontal="left"/>
    </xf>
    <xf borderId="0" fillId="0" fontId="7" numFmtId="0" xfId="0" applyAlignment="1" applyFont="1">
      <alignment horizontal="left" readingOrder="0"/>
    </xf>
    <xf borderId="0" fillId="0" fontId="12" numFmtId="0" xfId="0" applyAlignment="1" applyFont="1">
      <alignment horizontal="center" readingOrder="0"/>
    </xf>
    <xf borderId="0" fillId="0" fontId="9" numFmtId="0" xfId="0" applyAlignment="1" applyFont="1">
      <alignment vertical="bottom"/>
    </xf>
    <xf borderId="1" fillId="5" fontId="10" numFmtId="0" xfId="0" applyAlignment="1" applyBorder="1" applyFont="1">
      <alignment horizontal="center" readingOrder="0"/>
    </xf>
    <xf borderId="12" fillId="0" fontId="9" numFmtId="0" xfId="0" applyAlignment="1" applyBorder="1" applyFont="1">
      <alignment readingOrder="0" vertical="bottom"/>
    </xf>
    <xf borderId="11" fillId="0" fontId="3" numFmtId="0" xfId="0" applyBorder="1" applyFont="1"/>
    <xf borderId="12" fillId="2" fontId="1" numFmtId="0" xfId="0" applyAlignment="1" applyBorder="1" applyFont="1">
      <alignment horizontal="left" readingOrder="0"/>
    </xf>
    <xf borderId="12" fillId="0" fontId="9" numFmtId="0" xfId="0" applyAlignment="1" applyBorder="1" applyFont="1">
      <alignment vertical="bottom"/>
    </xf>
    <xf borderId="0" fillId="2" fontId="12" numFmtId="0" xfId="0" applyAlignment="1" applyFont="1">
      <alignment horizontal="center" readingOrder="0"/>
    </xf>
    <xf borderId="0" fillId="0" fontId="9" numFmtId="0" xfId="0" applyAlignment="1" applyFont="1">
      <alignment vertical="bottom"/>
    </xf>
    <xf borderId="13" fillId="0" fontId="9" numFmtId="0" xfId="0" applyAlignment="1" applyBorder="1" applyFont="1">
      <alignment vertical="bottom"/>
    </xf>
    <xf borderId="8" fillId="0" fontId="3" numFmtId="0" xfId="0" applyBorder="1" applyFont="1"/>
    <xf borderId="9" fillId="0" fontId="3" numFmtId="0" xfId="0" applyBorder="1" applyFont="1"/>
    <xf borderId="5" fillId="0" fontId="9" numFmtId="0" xfId="0" applyAlignment="1" applyBorder="1" applyFont="1">
      <alignment readingOrder="0" vertical="bottom"/>
    </xf>
    <xf borderId="5" fillId="0" fontId="3" numFmtId="0" xfId="0" applyBorder="1" applyFont="1"/>
    <xf borderId="12" fillId="2" fontId="1" numFmtId="0" xfId="0" applyAlignment="1" applyBorder="1" applyFont="1">
      <alignment readingOrder="0"/>
    </xf>
    <xf borderId="11" fillId="2" fontId="12" numFmtId="0" xfId="0" applyAlignment="1" applyBorder="1" applyFont="1">
      <alignment horizontal="center" readingOrder="0"/>
    </xf>
    <xf borderId="0" fillId="0" fontId="13" numFmtId="0" xfId="0" applyAlignment="1" applyFont="1">
      <alignment horizontal="left" readingOrder="0"/>
    </xf>
    <xf borderId="13" fillId="2" fontId="1" numFmtId="0" xfId="0" applyAlignment="1" applyBorder="1" applyFont="1">
      <alignment readingOrder="0"/>
    </xf>
    <xf borderId="8" fillId="2" fontId="13" numFmtId="0" xfId="0" applyAlignment="1" applyBorder="1" applyFont="1">
      <alignment horizontal="left" readingOrder="0"/>
    </xf>
    <xf borderId="9" fillId="2" fontId="13" numFmtId="0" xfId="0" applyAlignment="1" applyBorder="1" applyFont="1">
      <alignment horizontal="left" readingOrder="0"/>
    </xf>
    <xf borderId="0" fillId="0" fontId="14" numFmtId="0" xfId="0" applyAlignment="1" applyFont="1">
      <alignment horizontal="center" readingOrder="0"/>
    </xf>
    <xf borderId="0" fillId="0" fontId="15" numFmtId="0" xfId="0" applyAlignment="1" applyFont="1">
      <alignment readingOrder="0" vertical="top"/>
    </xf>
    <xf borderId="0" fillId="0" fontId="16" numFmtId="0" xfId="0" applyAlignment="1" applyFont="1">
      <alignment horizontal="left" readingOrder="0" vertical="top"/>
    </xf>
    <xf borderId="7" fillId="6" fontId="9" numFmtId="0" xfId="0" applyAlignment="1" applyBorder="1" applyFont="1">
      <alignment vertical="bottom"/>
    </xf>
    <xf borderId="7" fillId="0" fontId="9" numFmtId="0" xfId="0" applyAlignment="1" applyBorder="1" applyFont="1">
      <alignment vertical="bottom"/>
    </xf>
    <xf borderId="7" fillId="0" fontId="9" numFmtId="164" xfId="0" applyAlignment="1" applyBorder="1" applyFont="1" applyNumberFormat="1">
      <alignment horizontal="right" vertical="bottom"/>
    </xf>
    <xf borderId="0" fillId="0" fontId="17" numFmtId="0" xfId="0" applyAlignment="1" applyFont="1">
      <alignment readingOrder="0"/>
    </xf>
    <xf borderId="0" fillId="0" fontId="18" numFmtId="0" xfId="0" applyAlignment="1" applyFont="1">
      <alignment horizontal="left" readingOrder="0"/>
    </xf>
    <xf borderId="0" fillId="0" fontId="1" numFmtId="0" xfId="0" applyAlignment="1" applyFont="1">
      <alignment horizontal="left" vertical="top"/>
    </xf>
    <xf borderId="0" fillId="2" fontId="0" numFmtId="0" xfId="0" applyAlignment="1" applyFont="1">
      <alignment readingOrder="0"/>
    </xf>
    <xf borderId="7" fillId="0" fontId="9" numFmtId="164" xfId="0" applyAlignment="1" applyBorder="1" applyFont="1" applyNumberFormat="1">
      <alignment vertical="bottom"/>
    </xf>
    <xf borderId="0" fillId="0" fontId="19" numFmtId="0" xfId="0" applyAlignment="1" applyFont="1">
      <alignment horizontal="left" readingOrder="0"/>
    </xf>
    <xf borderId="0" fillId="0" fontId="19" numFmtId="0" xfId="0" applyAlignment="1" applyFont="1">
      <alignment horizontal="left" readingOrder="0"/>
    </xf>
    <xf borderId="7" fillId="0" fontId="9" numFmtId="167" xfId="0" applyAlignment="1" applyBorder="1" applyFont="1" applyNumberFormat="1">
      <alignment vertical="bottom"/>
    </xf>
    <xf borderId="7" fillId="0" fontId="9" numFmtId="167" xfId="0" applyAlignment="1" applyBorder="1" applyFont="1" applyNumberFormat="1">
      <alignment horizontal="right" vertical="bottom"/>
    </xf>
    <xf borderId="0" fillId="0" fontId="9" numFmtId="167" xfId="0" applyAlignment="1" applyFont="1" applyNumberFormat="1">
      <alignment vertical="top"/>
    </xf>
    <xf borderId="0" fillId="0" fontId="9" numFmtId="0" xfId="0" applyAlignment="1" applyFont="1">
      <alignment vertical="top"/>
    </xf>
    <xf borderId="0" fillId="2" fontId="16" numFmtId="0" xfId="0" applyAlignment="1" applyFont="1">
      <alignment horizontal="left" readingOrder="0" vertical="top"/>
    </xf>
    <xf borderId="0" fillId="0" fontId="20" numFmtId="0" xfId="0" applyAlignment="1" applyFont="1">
      <alignment vertical="bottom"/>
    </xf>
    <xf borderId="0" fillId="0" fontId="0" numFmtId="0" xfId="0" applyAlignment="1" applyFont="1">
      <alignment horizontal="left" readingOrder="0" vertical="top"/>
    </xf>
    <xf borderId="0" fillId="0" fontId="0" numFmtId="0" xfId="0" applyAlignment="1" applyFont="1">
      <alignment horizontal="left" vertical="top"/>
    </xf>
    <xf borderId="0" fillId="0" fontId="15" numFmtId="0" xfId="0" applyAlignment="1" applyFont="1">
      <alignment horizontal="left" readingOrder="0"/>
    </xf>
    <xf borderId="0" fillId="0" fontId="16" numFmtId="0" xfId="0" applyAlignment="1" applyFont="1">
      <alignment horizontal="left" readingOrder="0"/>
    </xf>
    <xf borderId="0" fillId="2" fontId="20" numFmtId="0" xfId="0" applyAlignment="1" applyFont="1">
      <alignment vertical="bottom"/>
    </xf>
    <xf borderId="0" fillId="0" fontId="0" numFmtId="0" xfId="0" applyAlignment="1" applyFont="1">
      <alignment horizontal="left" readingOrder="0"/>
    </xf>
    <xf borderId="0" fillId="0" fontId="0" numFmtId="0" xfId="0" applyAlignment="1" applyFont="1">
      <alignment horizontal="left"/>
    </xf>
    <xf borderId="0" fillId="0" fontId="20" numFmtId="0" xfId="0" applyAlignment="1" applyFont="1">
      <alignment vertical="bottom"/>
    </xf>
    <xf borderId="0" fillId="2" fontId="1" numFmtId="0" xfId="0" applyFont="1"/>
    <xf borderId="0" fillId="0" fontId="8" numFmtId="0" xfId="0" applyAlignment="1" applyFont="1">
      <alignment horizontal="center" vertical="bottom"/>
    </xf>
    <xf borderId="1" fillId="5" fontId="9" numFmtId="0" xfId="0" applyAlignment="1" applyBorder="1" applyFont="1">
      <alignment horizontal="center" vertical="bottom"/>
    </xf>
    <xf borderId="0" fillId="0" fontId="9" numFmtId="164" xfId="0" applyAlignment="1" applyFont="1" applyNumberFormat="1">
      <alignment vertical="top"/>
    </xf>
    <xf borderId="7" fillId="0" fontId="9" numFmtId="164" xfId="0" applyAlignment="1" applyBorder="1" applyFont="1" applyNumberFormat="1">
      <alignment horizontal="center" vertical="bottom"/>
    </xf>
    <xf borderId="7" fillId="0" fontId="9" numFmtId="165" xfId="0" applyAlignment="1" applyBorder="1" applyFont="1" applyNumberFormat="1">
      <alignment horizontal="right" vertical="bottom"/>
    </xf>
    <xf borderId="0" fillId="0" fontId="9" numFmtId="0" xfId="0" applyAlignment="1" applyFont="1">
      <alignment vertical="top"/>
    </xf>
    <xf borderId="0" fillId="2" fontId="0" numFmtId="0" xfId="0" applyAlignment="1" applyFont="1">
      <alignment horizontal="left" readingOrder="0"/>
    </xf>
    <xf borderId="0" fillId="0" fontId="9" numFmtId="164" xfId="0" applyAlignment="1" applyFont="1" applyNumberFormat="1">
      <alignment vertical="bottom"/>
    </xf>
    <xf borderId="0" fillId="0" fontId="9" numFmtId="165" xfId="0" applyAlignment="1" applyFont="1" applyNumberFormat="1">
      <alignment vertical="bottom"/>
    </xf>
    <xf borderId="0" fillId="2" fontId="0" numFmtId="164" xfId="0" applyAlignment="1" applyFont="1" applyNumberFormat="1">
      <alignment horizontal="right" readingOrder="0"/>
    </xf>
    <xf borderId="0" fillId="2" fontId="0" numFmtId="0" xfId="0" applyAlignment="1" applyFont="1">
      <alignment horizontal="right" readingOrder="0"/>
    </xf>
    <xf borderId="0" fillId="0" fontId="0" numFmtId="164" xfId="0" applyAlignment="1" applyFont="1" applyNumberFormat="1">
      <alignment horizontal="right" readingOrder="0"/>
    </xf>
    <xf borderId="0" fillId="0" fontId="21" numFmtId="0" xfId="0" applyAlignment="1" applyFont="1">
      <alignment horizontal="left" readingOrder="0"/>
    </xf>
    <xf borderId="0" fillId="0" fontId="22" numFmtId="0" xfId="0" applyAlignment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22" numFmtId="168" xfId="0" applyAlignment="1" applyFont="1" applyNumberFormat="1">
      <alignment horizontal="center" vertical="bottom"/>
    </xf>
    <xf borderId="0" fillId="0" fontId="8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4.5"/>
    <col customWidth="1" min="19" max="19" width="4.5"/>
  </cols>
  <sheetData>
    <row r="1" ht="11.25" customHeight="1">
      <c r="A1" s="1"/>
      <c r="B1" s="2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1"/>
    </row>
    <row r="2">
      <c r="A2" s="1"/>
      <c r="B2" s="4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6"/>
      <c r="S2" s="1"/>
    </row>
    <row r="3">
      <c r="A3" s="1"/>
      <c r="B3" s="7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>
      <c r="A5" s="8" t="s">
        <v>1</v>
      </c>
      <c r="B5" s="9" t="s">
        <v>2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/>
      <c r="S5" s="1"/>
    </row>
    <row r="6">
      <c r="A6" s="8"/>
      <c r="B6" s="12" t="s">
        <v>3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"/>
    </row>
    <row r="7" ht="11.25" customHeight="1">
      <c r="A7" s="8"/>
      <c r="B7" s="14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"/>
    </row>
    <row r="8">
      <c r="A8" s="1"/>
      <c r="B8" s="15" t="s">
        <v>4</v>
      </c>
      <c r="C8" s="5"/>
      <c r="D8" s="6"/>
      <c r="E8" s="16" t="s">
        <v>5</v>
      </c>
      <c r="F8" s="16" t="s">
        <v>6</v>
      </c>
      <c r="G8" s="16" t="s">
        <v>7</v>
      </c>
      <c r="H8" s="16" t="s">
        <v>8</v>
      </c>
      <c r="I8" s="17"/>
      <c r="J8" s="18" t="s">
        <v>9</v>
      </c>
      <c r="K8" s="5"/>
      <c r="L8" s="6"/>
      <c r="M8" s="19"/>
      <c r="N8" s="1"/>
      <c r="O8" s="19"/>
      <c r="P8" s="19"/>
      <c r="Q8" s="19"/>
      <c r="R8" s="1"/>
      <c r="S8" s="1"/>
    </row>
    <row r="9">
      <c r="A9" s="1"/>
      <c r="B9" s="20" t="s">
        <v>10</v>
      </c>
      <c r="C9" s="5"/>
      <c r="D9" s="6"/>
      <c r="E9" s="21">
        <v>0.02</v>
      </c>
      <c r="F9" s="21">
        <v>0.04</v>
      </c>
      <c r="G9" s="21">
        <v>0.07</v>
      </c>
      <c r="H9" s="21">
        <v>0.04</v>
      </c>
      <c r="I9" s="22"/>
      <c r="J9" s="23" t="s">
        <v>11</v>
      </c>
      <c r="K9" s="6"/>
      <c r="L9" s="24" t="s">
        <v>12</v>
      </c>
      <c r="M9" s="19"/>
      <c r="N9" s="1"/>
      <c r="O9" s="19"/>
      <c r="P9" s="19"/>
      <c r="Q9" s="19"/>
      <c r="R9" s="1"/>
      <c r="S9" s="1"/>
    </row>
    <row r="10">
      <c r="A10" s="1"/>
      <c r="B10" s="20" t="s">
        <v>13</v>
      </c>
      <c r="C10" s="5"/>
      <c r="D10" s="6"/>
      <c r="E10" s="21">
        <v>0.295</v>
      </c>
      <c r="F10" s="21">
        <v>0.315</v>
      </c>
      <c r="G10" s="21">
        <v>0.33</v>
      </c>
      <c r="H10" s="21">
        <v>0.315</v>
      </c>
      <c r="I10" s="22"/>
      <c r="J10" s="23" t="s">
        <v>14</v>
      </c>
      <c r="K10" s="6"/>
      <c r="L10" s="24">
        <v>10.3</v>
      </c>
      <c r="M10" s="19"/>
      <c r="N10" s="1"/>
      <c r="O10" s="19"/>
      <c r="P10" s="19"/>
      <c r="Q10" s="19"/>
      <c r="R10" s="1"/>
      <c r="S10" s="1"/>
    </row>
    <row r="11">
      <c r="A11" s="1"/>
      <c r="B11" s="20" t="s">
        <v>15</v>
      </c>
      <c r="C11" s="5"/>
      <c r="D11" s="6"/>
      <c r="E11" s="25" t="s">
        <v>16</v>
      </c>
      <c r="F11" s="25" t="s">
        <v>17</v>
      </c>
      <c r="G11" s="25" t="s">
        <v>18</v>
      </c>
      <c r="H11" s="25" t="s">
        <v>17</v>
      </c>
      <c r="I11" s="26"/>
      <c r="J11" s="1"/>
      <c r="K11" s="19"/>
      <c r="L11" s="19"/>
      <c r="M11" s="19"/>
      <c r="N11" s="1"/>
      <c r="O11" s="19"/>
      <c r="P11" s="19"/>
      <c r="Q11" s="19"/>
      <c r="R11" s="1"/>
      <c r="S11" s="1"/>
    </row>
    <row r="12">
      <c r="A12" s="1"/>
      <c r="B12" s="19"/>
      <c r="C12" s="19"/>
      <c r="D12" s="27"/>
      <c r="E12" s="27"/>
      <c r="F12" s="1"/>
      <c r="G12" s="28"/>
      <c r="H12" s="27"/>
      <c r="I12" s="29"/>
      <c r="J12" s="1"/>
      <c r="K12" s="27"/>
      <c r="L12" s="27"/>
      <c r="M12" s="27"/>
      <c r="N12" s="1"/>
      <c r="O12" s="19"/>
      <c r="P12" s="19"/>
      <c r="Q12" s="19"/>
      <c r="R12" s="1"/>
      <c r="S12" s="1"/>
    </row>
    <row r="13">
      <c r="A13" s="1"/>
      <c r="B13" s="15" t="s">
        <v>19</v>
      </c>
      <c r="C13" s="5"/>
      <c r="D13" s="5"/>
      <c r="E13" s="6"/>
      <c r="F13" s="1"/>
      <c r="G13" s="30"/>
      <c r="H13" s="31" t="s">
        <v>20</v>
      </c>
      <c r="I13" s="32"/>
      <c r="J13" s="1"/>
      <c r="K13" s="15" t="s">
        <v>21</v>
      </c>
      <c r="L13" s="5"/>
      <c r="M13" s="6"/>
      <c r="N13" s="1"/>
      <c r="O13" s="17"/>
      <c r="R13" s="1"/>
      <c r="S13" s="1"/>
    </row>
    <row r="14">
      <c r="A14" s="1"/>
      <c r="B14" s="20" t="s">
        <v>22</v>
      </c>
      <c r="C14" s="5"/>
      <c r="D14" s="6"/>
      <c r="E14" s="33">
        <v>46.25</v>
      </c>
      <c r="F14" s="1"/>
      <c r="G14" s="20" t="s">
        <v>23</v>
      </c>
      <c r="H14" s="5"/>
      <c r="I14" s="21">
        <v>0.04</v>
      </c>
      <c r="J14" s="1"/>
      <c r="K14" s="20" t="s">
        <v>24</v>
      </c>
      <c r="L14" s="6"/>
      <c r="M14" s="34">
        <v>350.0</v>
      </c>
      <c r="N14" s="1"/>
      <c r="O14" s="22"/>
      <c r="Q14" s="35"/>
      <c r="R14" s="1"/>
      <c r="S14" s="1"/>
    </row>
    <row r="15">
      <c r="A15" s="1"/>
      <c r="B15" s="20" t="s">
        <v>25</v>
      </c>
      <c r="C15" s="5"/>
      <c r="D15" s="6"/>
      <c r="E15" s="25">
        <v>155.7</v>
      </c>
      <c r="F15" s="1"/>
      <c r="G15" s="20" t="s">
        <v>13</v>
      </c>
      <c r="H15" s="5"/>
      <c r="I15" s="21">
        <v>0.315</v>
      </c>
      <c r="J15" s="1"/>
      <c r="K15" s="20" t="s">
        <v>26</v>
      </c>
      <c r="L15" s="6"/>
      <c r="M15" s="34">
        <v>0.0</v>
      </c>
      <c r="N15" s="1"/>
      <c r="O15" s="22"/>
      <c r="Q15" s="35"/>
      <c r="R15" s="1"/>
      <c r="S15" s="1"/>
    </row>
    <row r="16">
      <c r="A16" s="1"/>
      <c r="B16" s="20" t="s">
        <v>27</v>
      </c>
      <c r="C16" s="5"/>
      <c r="D16" s="6"/>
      <c r="E16" s="36">
        <v>7201.1</v>
      </c>
      <c r="F16" s="1"/>
      <c r="G16" s="20" t="s">
        <v>28</v>
      </c>
      <c r="H16" s="5"/>
      <c r="I16" s="21">
        <v>0.104</v>
      </c>
      <c r="J16" s="1"/>
      <c r="K16" s="20" t="s">
        <v>29</v>
      </c>
      <c r="L16" s="6"/>
      <c r="M16" s="34">
        <v>3800.0</v>
      </c>
      <c r="N16" s="1"/>
      <c r="O16" s="1"/>
      <c r="P16" s="1"/>
      <c r="Q16" s="1"/>
      <c r="R16" s="1"/>
      <c r="S16" s="1"/>
    </row>
    <row r="17">
      <c r="A17" s="1"/>
      <c r="B17" s="20" t="s">
        <v>30</v>
      </c>
      <c r="C17" s="5"/>
      <c r="D17" s="6"/>
      <c r="E17" s="36">
        <v>-73.2</v>
      </c>
      <c r="F17" s="1"/>
      <c r="G17" s="20" t="s">
        <v>31</v>
      </c>
      <c r="H17" s="5"/>
      <c r="I17" s="21">
        <v>0.011</v>
      </c>
      <c r="J17" s="1"/>
      <c r="K17" s="20" t="s">
        <v>32</v>
      </c>
      <c r="L17" s="6"/>
      <c r="M17" s="21">
        <v>0.04</v>
      </c>
      <c r="N17" s="1"/>
      <c r="O17" s="1"/>
      <c r="P17" s="1"/>
      <c r="Q17" s="1"/>
      <c r="R17" s="1"/>
      <c r="S17" s="1"/>
    </row>
    <row r="18">
      <c r="A18" s="1"/>
      <c r="B18" s="20" t="s">
        <v>33</v>
      </c>
      <c r="C18" s="5"/>
      <c r="D18" s="6"/>
      <c r="E18" s="36">
        <v>7127.9</v>
      </c>
      <c r="F18" s="1"/>
      <c r="G18" s="20" t="s">
        <v>34</v>
      </c>
      <c r="H18" s="5"/>
      <c r="I18" s="21">
        <v>0.025</v>
      </c>
      <c r="J18" s="1"/>
      <c r="K18" s="20" t="s">
        <v>35</v>
      </c>
      <c r="L18" s="6"/>
      <c r="M18" s="34">
        <v>1680.0</v>
      </c>
      <c r="N18" s="1"/>
      <c r="O18" s="1"/>
      <c r="P18" s="1"/>
      <c r="Q18" s="1"/>
      <c r="R18" s="1"/>
      <c r="S18" s="1"/>
    </row>
    <row r="19">
      <c r="A19" s="1"/>
      <c r="B19" s="20" t="s">
        <v>36</v>
      </c>
      <c r="C19" s="5"/>
      <c r="D19" s="6"/>
      <c r="E19" s="36">
        <v>694.4</v>
      </c>
      <c r="F19" s="1"/>
      <c r="G19" s="1"/>
      <c r="I19" s="1"/>
      <c r="J19" s="1"/>
      <c r="K19" s="20" t="s">
        <v>37</v>
      </c>
      <c r="L19" s="6"/>
      <c r="M19" s="21">
        <v>0.07</v>
      </c>
      <c r="N19" s="1"/>
      <c r="O19" s="1"/>
      <c r="P19" s="1"/>
      <c r="Q19" s="1"/>
      <c r="R19" s="1"/>
      <c r="S19" s="1"/>
    </row>
    <row r="20">
      <c r="A20" s="1"/>
      <c r="B20" s="20" t="s">
        <v>38</v>
      </c>
      <c r="C20" s="5"/>
      <c r="D20" s="6"/>
      <c r="E20" s="25" t="s">
        <v>17</v>
      </c>
      <c r="F20" s="1"/>
      <c r="G20" s="1"/>
      <c r="I20" s="1"/>
      <c r="J20" s="1"/>
      <c r="K20" s="20" t="s">
        <v>39</v>
      </c>
      <c r="L20" s="6"/>
      <c r="M20" s="21">
        <v>0.01</v>
      </c>
      <c r="N20" s="1"/>
      <c r="O20" s="1"/>
      <c r="P20" s="1"/>
      <c r="Q20" s="1"/>
      <c r="R20" s="1"/>
      <c r="S20" s="1"/>
    </row>
    <row r="21">
      <c r="A21" s="1"/>
      <c r="B21" s="22"/>
      <c r="C21" s="22"/>
      <c r="D21" s="22"/>
      <c r="E21" s="37"/>
      <c r="F21" s="1"/>
      <c r="G21" s="1"/>
      <c r="H21" s="1"/>
      <c r="I21" s="1"/>
      <c r="J21" s="1"/>
      <c r="K21" s="20" t="s">
        <v>40</v>
      </c>
      <c r="L21" s="6"/>
      <c r="M21" s="34">
        <v>500.0</v>
      </c>
      <c r="N21" s="1"/>
      <c r="O21" s="1"/>
      <c r="P21" s="1"/>
      <c r="Q21" s="1"/>
      <c r="R21" s="1"/>
      <c r="S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20" t="s">
        <v>41</v>
      </c>
      <c r="L22" s="6"/>
      <c r="M22" s="21">
        <v>0.1</v>
      </c>
      <c r="N22" s="1"/>
      <c r="O22" s="1"/>
      <c r="P22" s="1"/>
      <c r="Q22" s="1"/>
      <c r="R22" s="1"/>
      <c r="S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>
      <c r="A24" s="8" t="s">
        <v>1</v>
      </c>
      <c r="B24" s="9" t="s">
        <v>42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1"/>
      <c r="S24" s="1"/>
    </row>
    <row r="25" ht="11.25" customHeight="1">
      <c r="A25" s="8"/>
      <c r="B25" s="38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"/>
    </row>
    <row r="26">
      <c r="A26" s="1"/>
      <c r="B26" s="15" t="s">
        <v>43</v>
      </c>
      <c r="C26" s="5"/>
      <c r="D26" s="5"/>
      <c r="E26" s="6"/>
      <c r="F26" s="1"/>
      <c r="G26" s="15" t="s">
        <v>44</v>
      </c>
      <c r="H26" s="5"/>
      <c r="I26" s="6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>
      <c r="A27" s="1"/>
      <c r="B27" s="20" t="s">
        <v>27</v>
      </c>
      <c r="C27" s="5"/>
      <c r="D27" s="6"/>
      <c r="E27" s="34">
        <v>7201.1</v>
      </c>
      <c r="F27" s="1"/>
      <c r="G27" s="20" t="s">
        <v>29</v>
      </c>
      <c r="H27" s="6"/>
      <c r="I27" s="34">
        <v>3800.0</v>
      </c>
      <c r="J27" s="1"/>
      <c r="K27" s="1"/>
      <c r="L27" s="1"/>
      <c r="M27" s="1"/>
      <c r="N27" s="1"/>
      <c r="O27" s="1"/>
      <c r="P27" s="1"/>
      <c r="Q27" s="1"/>
      <c r="R27" s="1"/>
      <c r="S27" s="1"/>
    </row>
    <row r="28">
      <c r="A28" s="1"/>
      <c r="B28" s="20" t="s">
        <v>45</v>
      </c>
      <c r="C28" s="5"/>
      <c r="D28" s="6"/>
      <c r="E28" s="34">
        <v>1306.0</v>
      </c>
      <c r="F28" s="1"/>
      <c r="G28" s="20" t="s">
        <v>35</v>
      </c>
      <c r="H28" s="6"/>
      <c r="I28" s="34">
        <v>1680.0</v>
      </c>
      <c r="J28" s="1"/>
      <c r="K28" s="1"/>
      <c r="L28" s="1"/>
      <c r="M28" s="1"/>
      <c r="N28" s="1"/>
      <c r="O28" s="1"/>
      <c r="P28" s="1"/>
      <c r="Q28" s="1"/>
      <c r="R28" s="1"/>
      <c r="S28" s="1"/>
    </row>
    <row r="29">
      <c r="A29" s="1"/>
      <c r="B29" s="20" t="s">
        <v>46</v>
      </c>
      <c r="C29" s="5"/>
      <c r="D29" s="6"/>
      <c r="E29" s="34">
        <v>142.6</v>
      </c>
      <c r="F29" s="1"/>
      <c r="G29" s="20" t="s">
        <v>47</v>
      </c>
      <c r="H29" s="6"/>
      <c r="I29" s="34">
        <v>2779.3</v>
      </c>
      <c r="J29" s="1"/>
      <c r="K29" s="1"/>
      <c r="L29" s="1"/>
      <c r="M29" s="1"/>
      <c r="N29" s="1"/>
      <c r="O29" s="1"/>
      <c r="P29" s="1"/>
      <c r="Q29" s="1"/>
      <c r="R29" s="1"/>
      <c r="S29" s="1"/>
    </row>
    <row r="30">
      <c r="A30" s="1"/>
      <c r="B30" s="20" t="s">
        <v>48</v>
      </c>
      <c r="C30" s="5"/>
      <c r="D30" s="6"/>
      <c r="E30" s="34">
        <v>109.6</v>
      </c>
      <c r="F30" s="1"/>
      <c r="G30" s="20" t="s">
        <v>49</v>
      </c>
      <c r="H30" s="6"/>
      <c r="I30" s="34">
        <f>I27+I28+I29+I33</f>
        <v>8759.3</v>
      </c>
      <c r="J30" s="1"/>
      <c r="K30" s="1"/>
      <c r="L30" s="1"/>
      <c r="M30" s="1"/>
      <c r="N30" s="1"/>
      <c r="O30" s="1"/>
      <c r="P30" s="1"/>
      <c r="Q30" s="1"/>
      <c r="R30" s="1"/>
      <c r="S30" s="1"/>
    </row>
    <row r="31">
      <c r="A31" s="1"/>
      <c r="B31" s="20" t="s">
        <v>50</v>
      </c>
      <c r="C31" s="5"/>
      <c r="D31" s="6"/>
      <c r="E31" s="34">
        <v>8759.3</v>
      </c>
      <c r="F31" s="1"/>
      <c r="G31" s="20" t="s">
        <v>51</v>
      </c>
      <c r="H31" s="6"/>
      <c r="I31" s="21">
        <v>0.374</v>
      </c>
      <c r="J31" s="1"/>
      <c r="K31" s="1"/>
      <c r="L31" s="1"/>
      <c r="M31" s="1"/>
      <c r="N31" s="1"/>
      <c r="O31" s="1"/>
      <c r="P31" s="1"/>
      <c r="Q31" s="1"/>
      <c r="R31" s="1"/>
      <c r="S31" s="1"/>
    </row>
    <row r="32">
      <c r="A32" s="1"/>
      <c r="B32" s="1"/>
      <c r="C32" s="1"/>
      <c r="D32" s="1"/>
      <c r="E32" s="1"/>
      <c r="F32" s="1"/>
      <c r="G32" s="20" t="s">
        <v>52</v>
      </c>
      <c r="H32" s="6"/>
      <c r="I32" s="25" t="s">
        <v>53</v>
      </c>
      <c r="J32" s="1"/>
      <c r="K32" s="1"/>
      <c r="L32" s="1"/>
      <c r="M32" s="1"/>
      <c r="N32" s="1"/>
      <c r="O32" s="1"/>
      <c r="P32" s="1"/>
      <c r="Q32" s="1"/>
      <c r="R32" s="1"/>
      <c r="S32" s="1"/>
    </row>
    <row r="33">
      <c r="A33" s="1"/>
      <c r="B33" s="1"/>
      <c r="C33" s="1"/>
      <c r="D33" s="1"/>
      <c r="E33" s="1"/>
      <c r="F33" s="1"/>
      <c r="G33" s="20" t="s">
        <v>40</v>
      </c>
      <c r="H33" s="6"/>
      <c r="I33" s="34">
        <v>500.0</v>
      </c>
      <c r="J33" s="1"/>
      <c r="K33" s="1"/>
      <c r="L33" s="1"/>
      <c r="M33" s="1"/>
      <c r="N33" s="1"/>
      <c r="O33" s="1"/>
      <c r="P33" s="1"/>
      <c r="Q33" s="1"/>
      <c r="R33" s="1"/>
      <c r="S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>
      <c r="A35" s="8" t="s">
        <v>1</v>
      </c>
      <c r="B35" s="39" t="s">
        <v>54</v>
      </c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1"/>
      <c r="S35" s="1"/>
    </row>
    <row r="36" ht="15.75" customHeight="1">
      <c r="A36" s="1"/>
      <c r="B36" s="7" t="s">
        <v>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>
      <c r="A37" s="1"/>
      <c r="B37" s="1"/>
      <c r="C37" s="1"/>
      <c r="D37" s="1"/>
      <c r="E37" s="1"/>
      <c r="F37" s="42" t="s">
        <v>55</v>
      </c>
      <c r="G37" s="43"/>
      <c r="H37" s="42" t="s">
        <v>56</v>
      </c>
      <c r="I37" s="43"/>
      <c r="J37" s="42" t="s">
        <v>57</v>
      </c>
      <c r="K37" s="43"/>
      <c r="L37" s="42" t="s">
        <v>58</v>
      </c>
      <c r="M37" s="43"/>
      <c r="N37" s="42" t="s">
        <v>59</v>
      </c>
      <c r="O37" s="43"/>
      <c r="P37" s="42" t="s">
        <v>60</v>
      </c>
      <c r="Q37" s="44"/>
      <c r="R37" s="1"/>
      <c r="S37" s="1"/>
    </row>
    <row r="38" ht="11.25" customHeight="1">
      <c r="A38" s="1"/>
      <c r="B38" s="1"/>
      <c r="C38" s="1"/>
      <c r="D38" s="1"/>
      <c r="E38" s="1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1"/>
      <c r="S38" s="1"/>
    </row>
    <row r="39">
      <c r="A39" s="1"/>
      <c r="B39" s="45" t="s">
        <v>61</v>
      </c>
      <c r="E39" s="1"/>
      <c r="F39" s="46">
        <v>2201.4</v>
      </c>
      <c r="G39" s="47"/>
      <c r="H39" s="46">
        <f>F39*(1+I14)</f>
        <v>2289.456</v>
      </c>
      <c r="I39" s="47"/>
      <c r="J39" s="46">
        <f>H39*(1+I14)</f>
        <v>2381.03424</v>
      </c>
      <c r="K39" s="47"/>
      <c r="L39" s="46">
        <f>J39*(1+I14)</f>
        <v>2476.27561</v>
      </c>
      <c r="M39" s="46"/>
      <c r="N39" s="46">
        <f>L39*(1+I14)</f>
        <v>2575.326634</v>
      </c>
      <c r="O39" s="47"/>
      <c r="P39" s="46">
        <f>N39*(1+I14)</f>
        <v>2678.339699</v>
      </c>
      <c r="Q39" s="44"/>
      <c r="R39" s="1"/>
      <c r="S39" s="1"/>
    </row>
    <row r="40">
      <c r="A40" s="1"/>
      <c r="B40" s="45" t="s">
        <v>36</v>
      </c>
      <c r="E40" s="1"/>
      <c r="F40" s="46">
        <f>F39*I15</f>
        <v>693.441</v>
      </c>
      <c r="G40" s="47"/>
      <c r="H40" s="46">
        <f>H39*I15</f>
        <v>721.17864</v>
      </c>
      <c r="I40" s="47"/>
      <c r="J40" s="46">
        <f>J39*J41</f>
        <v>750.0257856</v>
      </c>
      <c r="K40" s="46"/>
      <c r="L40" s="46">
        <f>L39*L41</f>
        <v>780.026817</v>
      </c>
      <c r="M40" s="46"/>
      <c r="N40" s="46">
        <f>N39*N41</f>
        <v>811.2278897</v>
      </c>
      <c r="O40" s="46"/>
      <c r="P40" s="46">
        <f>P39*P41</f>
        <v>843.6770053</v>
      </c>
      <c r="Q40" s="44"/>
      <c r="R40" s="1"/>
      <c r="S40" s="1"/>
    </row>
    <row r="41">
      <c r="A41" s="1"/>
      <c r="B41" s="45" t="s">
        <v>62</v>
      </c>
      <c r="E41" s="1"/>
      <c r="F41" s="48">
        <v>0.315</v>
      </c>
      <c r="G41" s="49"/>
      <c r="H41" s="48">
        <f>H40/H39</f>
        <v>0.315</v>
      </c>
      <c r="I41" s="49"/>
      <c r="J41" s="48">
        <v>0.315</v>
      </c>
      <c r="K41" s="49"/>
      <c r="L41" s="48">
        <v>0.315</v>
      </c>
      <c r="M41" s="49"/>
      <c r="N41" s="48">
        <v>0.315</v>
      </c>
      <c r="O41" s="49"/>
      <c r="P41" s="48">
        <v>0.315</v>
      </c>
      <c r="Q41" s="44"/>
      <c r="R41" s="1"/>
      <c r="S41" s="1"/>
    </row>
    <row r="42">
      <c r="A42" s="1"/>
      <c r="B42" s="45" t="s">
        <v>63</v>
      </c>
      <c r="E42" s="1"/>
      <c r="F42" s="46">
        <f>F39*I16</f>
        <v>228.9456</v>
      </c>
      <c r="G42" s="47"/>
      <c r="H42" s="46">
        <f>H39*I16</f>
        <v>238.103424</v>
      </c>
      <c r="I42" s="46"/>
      <c r="J42" s="46">
        <f>J39*I16</f>
        <v>247.627561</v>
      </c>
      <c r="K42" s="46"/>
      <c r="L42" s="46">
        <f>L39*I16</f>
        <v>257.5326634</v>
      </c>
      <c r="M42" s="46"/>
      <c r="N42" s="46">
        <f>N39*I16</f>
        <v>267.8339699</v>
      </c>
      <c r="O42" s="46"/>
      <c r="P42" s="46">
        <f>P39*I16</f>
        <v>278.5473287</v>
      </c>
      <c r="Q42" s="44"/>
      <c r="R42" s="1"/>
      <c r="S42" s="1"/>
    </row>
    <row r="43">
      <c r="A43" s="1"/>
      <c r="B43" s="45" t="s">
        <v>64</v>
      </c>
      <c r="E43" s="1"/>
      <c r="F43" s="46">
        <f>F40-F42</f>
        <v>464.4954</v>
      </c>
      <c r="G43" s="47"/>
      <c r="H43" s="46">
        <f>H40-H42</f>
        <v>483.075216</v>
      </c>
      <c r="I43" s="47"/>
      <c r="J43" s="46">
        <f>J40-J42</f>
        <v>502.3982246</v>
      </c>
      <c r="K43" s="47"/>
      <c r="L43" s="46">
        <f>L40-L42</f>
        <v>522.4941536</v>
      </c>
      <c r="M43" s="47"/>
      <c r="N43" s="46">
        <f>N40-N42</f>
        <v>543.3939198</v>
      </c>
      <c r="O43" s="47"/>
      <c r="P43" s="46">
        <f>P40-P42</f>
        <v>565.1296766</v>
      </c>
      <c r="Q43" s="44"/>
      <c r="R43" s="1"/>
      <c r="S43" s="1"/>
    </row>
    <row r="44">
      <c r="A44" s="1"/>
      <c r="B44" s="45" t="s">
        <v>65</v>
      </c>
      <c r="E44" s="1"/>
      <c r="F44" s="46">
        <f>F71</f>
        <v>318.84</v>
      </c>
      <c r="G44" s="47"/>
      <c r="H44" s="46">
        <f>H71</f>
        <v>311.4633656</v>
      </c>
      <c r="I44" s="47"/>
      <c r="J44" s="46">
        <f>J71</f>
        <v>297.57465</v>
      </c>
      <c r="K44" s="47"/>
      <c r="L44" s="46">
        <f>L71</f>
        <v>282.3377254</v>
      </c>
      <c r="M44" s="47"/>
      <c r="N44" s="46">
        <f>N71</f>
        <v>265.6761541</v>
      </c>
      <c r="O44" s="47"/>
      <c r="P44" s="46">
        <f>P71</f>
        <v>247.5098011</v>
      </c>
      <c r="Q44" s="44"/>
      <c r="R44" s="1"/>
      <c r="S44" s="1"/>
    </row>
    <row r="45">
      <c r="A45" s="1"/>
      <c r="B45" s="45" t="s">
        <v>66</v>
      </c>
      <c r="E45" s="1"/>
      <c r="F45" s="46">
        <f>F43-F44</f>
        <v>145.6554</v>
      </c>
      <c r="G45" s="47"/>
      <c r="H45" s="46">
        <f>H43-H44</f>
        <v>171.6118504</v>
      </c>
      <c r="I45" s="47"/>
      <c r="J45" s="46">
        <f>J43-J44</f>
        <v>204.8235747</v>
      </c>
      <c r="K45" s="47"/>
      <c r="L45" s="46">
        <f>L43-L44</f>
        <v>240.1564282</v>
      </c>
      <c r="M45" s="47"/>
      <c r="N45" s="46">
        <f>N43-N44</f>
        <v>277.7177657</v>
      </c>
      <c r="O45" s="47"/>
      <c r="P45" s="46">
        <f>P43-P44</f>
        <v>317.6198755</v>
      </c>
      <c r="Q45" s="44"/>
      <c r="R45" s="1"/>
      <c r="S45" s="1"/>
    </row>
    <row r="46">
      <c r="A46" s="1"/>
      <c r="B46" s="45" t="s">
        <v>67</v>
      </c>
      <c r="E46" s="1"/>
      <c r="F46" s="46">
        <f>F45*0.3</f>
        <v>43.69662</v>
      </c>
      <c r="G46" s="46"/>
      <c r="H46" s="46">
        <f>H45*0.3</f>
        <v>51.48355512</v>
      </c>
      <c r="I46" s="46"/>
      <c r="J46" s="46">
        <f>J45*0.3</f>
        <v>61.4470724</v>
      </c>
      <c r="K46" s="46"/>
      <c r="L46" s="46">
        <f>L45*0.3</f>
        <v>72.04692846</v>
      </c>
      <c r="M46" s="46"/>
      <c r="N46" s="46">
        <f>N45*0.3</f>
        <v>83.31532972</v>
      </c>
      <c r="O46" s="46"/>
      <c r="P46" s="46">
        <f>P45*0.3</f>
        <v>95.28596264</v>
      </c>
      <c r="Q46" s="44"/>
      <c r="R46" s="1"/>
      <c r="S46" s="1"/>
    </row>
    <row r="47">
      <c r="A47" s="1"/>
      <c r="B47" s="45" t="s">
        <v>68</v>
      </c>
      <c r="E47" s="1"/>
      <c r="F47" s="46">
        <f>F45-F46</f>
        <v>101.95878</v>
      </c>
      <c r="G47" s="46"/>
      <c r="H47" s="46">
        <f>H45-H46</f>
        <v>120.1282953</v>
      </c>
      <c r="I47" s="46"/>
      <c r="J47" s="46">
        <f>J45-J46</f>
        <v>143.3765023</v>
      </c>
      <c r="K47" s="46"/>
      <c r="L47" s="46">
        <f>L45-L46</f>
        <v>168.1094997</v>
      </c>
      <c r="M47" s="46"/>
      <c r="N47" s="46">
        <f>N45-N46</f>
        <v>194.402436</v>
      </c>
      <c r="O47" s="46"/>
      <c r="P47" s="46">
        <f>P45-P46</f>
        <v>222.3339128</v>
      </c>
      <c r="Q47" s="44"/>
      <c r="R47" s="1"/>
      <c r="S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>
      <c r="A49" s="8" t="s">
        <v>1</v>
      </c>
      <c r="B49" s="50" t="s">
        <v>69</v>
      </c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2"/>
      <c r="S49" s="1"/>
    </row>
    <row r="50" ht="15.75" customHeight="1">
      <c r="A50" s="26"/>
      <c r="B50" s="7" t="s">
        <v>3</v>
      </c>
      <c r="C50" s="26"/>
      <c r="D50" s="26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>
      <c r="A51" s="26"/>
      <c r="B51" s="26"/>
      <c r="C51" s="26"/>
      <c r="D51" s="26"/>
      <c r="E51" s="1"/>
      <c r="F51" s="42" t="s">
        <v>55</v>
      </c>
      <c r="G51" s="43"/>
      <c r="H51" s="42" t="s">
        <v>56</v>
      </c>
      <c r="I51" s="43"/>
      <c r="J51" s="42" t="s">
        <v>57</v>
      </c>
      <c r="K51" s="43"/>
      <c r="L51" s="42" t="s">
        <v>58</v>
      </c>
      <c r="M51" s="43"/>
      <c r="N51" s="42" t="s">
        <v>59</v>
      </c>
      <c r="O51" s="43"/>
      <c r="P51" s="42" t="s">
        <v>60</v>
      </c>
      <c r="Q51" s="1"/>
      <c r="R51" s="1"/>
      <c r="S51" s="1"/>
    </row>
    <row r="52" ht="11.25" customHeight="1">
      <c r="A52" s="26"/>
      <c r="B52" s="26"/>
      <c r="C52" s="26"/>
      <c r="D52" s="26"/>
      <c r="E52" s="1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1"/>
      <c r="R52" s="1"/>
      <c r="S52" s="1"/>
    </row>
    <row r="53">
      <c r="A53" s="26"/>
      <c r="B53" s="53" t="s">
        <v>29</v>
      </c>
      <c r="E53" s="54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26"/>
      <c r="R53" s="26"/>
      <c r="S53" s="26"/>
    </row>
    <row r="54">
      <c r="A54" s="26"/>
      <c r="B54" s="45" t="s">
        <v>70</v>
      </c>
      <c r="E54" s="54"/>
      <c r="F54" s="46">
        <v>3800.0</v>
      </c>
      <c r="G54" s="47"/>
      <c r="H54" s="46">
        <v>3762.0</v>
      </c>
      <c r="I54" s="47"/>
      <c r="J54" s="46">
        <f>H57</f>
        <v>3431.168281</v>
      </c>
      <c r="K54" s="47"/>
      <c r="L54" s="46">
        <f>J57</f>
        <v>3067.564217</v>
      </c>
      <c r="M54" s="47"/>
      <c r="N54" s="46">
        <f>L57</f>
        <v>2669.322054</v>
      </c>
      <c r="O54" s="47"/>
      <c r="P54" s="46">
        <f>N57</f>
        <v>2234.485648</v>
      </c>
      <c r="Q54" s="26"/>
      <c r="R54" s="26"/>
      <c r="S54" s="26"/>
    </row>
    <row r="55">
      <c r="A55" s="26"/>
      <c r="B55" s="45" t="s">
        <v>39</v>
      </c>
      <c r="E55" s="54"/>
      <c r="F55" s="46">
        <v>38.0</v>
      </c>
      <c r="G55" s="47"/>
      <c r="H55" s="46">
        <v>38.0</v>
      </c>
      <c r="I55" s="46"/>
      <c r="J55" s="46">
        <v>38.0</v>
      </c>
      <c r="K55" s="46"/>
      <c r="L55" s="46">
        <v>38.0</v>
      </c>
      <c r="M55" s="46"/>
      <c r="N55" s="46">
        <v>38.0</v>
      </c>
      <c r="O55" s="46"/>
      <c r="P55" s="46">
        <v>38.0</v>
      </c>
      <c r="Q55" s="26"/>
      <c r="R55" s="26"/>
      <c r="S55" s="26"/>
    </row>
    <row r="56">
      <c r="A56" s="26"/>
      <c r="B56" s="45" t="s">
        <v>71</v>
      </c>
      <c r="E56" s="54"/>
      <c r="F56" s="46">
        <v>0.0</v>
      </c>
      <c r="G56" s="47"/>
      <c r="H56" s="46">
        <f t="shared" ref="H56:P56" si="1">H108</f>
        <v>292.8317193</v>
      </c>
      <c r="I56" s="46" t="str">
        <f t="shared" si="1"/>
        <v/>
      </c>
      <c r="J56" s="46">
        <f t="shared" si="1"/>
        <v>325.6040632</v>
      </c>
      <c r="K56" s="46" t="str">
        <f t="shared" si="1"/>
        <v/>
      </c>
      <c r="L56" s="46">
        <f t="shared" si="1"/>
        <v>360.2421631</v>
      </c>
      <c r="M56" s="46" t="str">
        <f t="shared" si="1"/>
        <v/>
      </c>
      <c r="N56" s="46">
        <f t="shared" si="1"/>
        <v>396.8364059</v>
      </c>
      <c r="O56" s="46" t="str">
        <f t="shared" si="1"/>
        <v/>
      </c>
      <c r="P56" s="46">
        <f t="shared" si="1"/>
        <v>435.4812416</v>
      </c>
      <c r="Q56" s="26"/>
      <c r="R56" s="26"/>
      <c r="S56" s="26"/>
    </row>
    <row r="57">
      <c r="A57" s="26"/>
      <c r="B57" s="45" t="s">
        <v>72</v>
      </c>
      <c r="E57" s="54"/>
      <c r="F57" s="46">
        <v>3762.0</v>
      </c>
      <c r="G57" s="47"/>
      <c r="H57" s="46">
        <f>H54-H55-H56</f>
        <v>3431.168281</v>
      </c>
      <c r="I57" s="46"/>
      <c r="J57" s="46">
        <f>J54-J55-J56</f>
        <v>3067.564217</v>
      </c>
      <c r="K57" s="46"/>
      <c r="L57" s="46">
        <f>L54-L55-L56</f>
        <v>2669.322054</v>
      </c>
      <c r="M57" s="46"/>
      <c r="N57" s="46">
        <f>N54-N55-N56</f>
        <v>2234.485648</v>
      </c>
      <c r="O57" s="46"/>
      <c r="P57" s="46">
        <f>P54-P55-P56</f>
        <v>1761.004407</v>
      </c>
      <c r="Q57" s="26"/>
      <c r="R57" s="26"/>
      <c r="S57" s="26"/>
    </row>
    <row r="58">
      <c r="A58" s="26"/>
      <c r="B58" s="45" t="s">
        <v>65</v>
      </c>
      <c r="E58" s="54"/>
      <c r="F58" s="46">
        <f>((F54+F57)/2)*4%</f>
        <v>151.24</v>
      </c>
      <c r="G58" s="47"/>
      <c r="H58" s="46">
        <f>((H54+H57)/2)*4%</f>
        <v>143.8633656</v>
      </c>
      <c r="I58" s="46"/>
      <c r="J58" s="46">
        <f>((J54+J57)/2)*4%</f>
        <v>129.97465</v>
      </c>
      <c r="K58" s="46"/>
      <c r="L58" s="46">
        <f>((L54+L57)/2)*4%</f>
        <v>114.7377254</v>
      </c>
      <c r="M58" s="46"/>
      <c r="N58" s="46">
        <f>((N54+N57)/2)*4%</f>
        <v>98.07615405</v>
      </c>
      <c r="O58" s="46"/>
      <c r="P58" s="46">
        <f>((P54+P57)/2)*4%</f>
        <v>79.9098011</v>
      </c>
      <c r="Q58" s="26"/>
      <c r="R58" s="26"/>
      <c r="S58" s="26"/>
    </row>
    <row r="59">
      <c r="A59" s="26"/>
      <c r="B59" s="1"/>
      <c r="C59" s="1"/>
      <c r="D59" s="1"/>
      <c r="E59" s="54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26"/>
      <c r="R59" s="26"/>
      <c r="S59" s="26"/>
    </row>
    <row r="60">
      <c r="A60" s="26"/>
      <c r="B60" s="53" t="s">
        <v>35</v>
      </c>
      <c r="E60" s="54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26"/>
      <c r="R60" s="26"/>
      <c r="S60" s="26"/>
    </row>
    <row r="61">
      <c r="A61" s="26"/>
      <c r="B61" s="45" t="s">
        <v>70</v>
      </c>
      <c r="E61" s="54"/>
      <c r="F61" s="46">
        <v>1680.0</v>
      </c>
      <c r="G61" s="47"/>
      <c r="H61" s="46">
        <v>1680.0</v>
      </c>
      <c r="I61" s="47"/>
      <c r="J61" s="46">
        <v>1680.0</v>
      </c>
      <c r="K61" s="47"/>
      <c r="L61" s="46">
        <v>1680.0</v>
      </c>
      <c r="M61" s="47"/>
      <c r="N61" s="46">
        <v>1680.0</v>
      </c>
      <c r="O61" s="47"/>
      <c r="P61" s="46">
        <v>1680.0</v>
      </c>
      <c r="Q61" s="26"/>
      <c r="R61" s="26"/>
      <c r="S61" s="26"/>
    </row>
    <row r="62">
      <c r="A62" s="26"/>
      <c r="B62" s="45" t="s">
        <v>72</v>
      </c>
      <c r="E62" s="54"/>
      <c r="F62" s="46">
        <v>1680.0</v>
      </c>
      <c r="G62" s="47"/>
      <c r="H62" s="46">
        <v>1680.0</v>
      </c>
      <c r="I62" s="47"/>
      <c r="J62" s="46">
        <v>1680.0</v>
      </c>
      <c r="K62" s="47"/>
      <c r="L62" s="46">
        <v>1680.0</v>
      </c>
      <c r="M62" s="47"/>
      <c r="N62" s="46">
        <v>1680.0</v>
      </c>
      <c r="O62" s="47"/>
      <c r="P62" s="46">
        <v>1680.0</v>
      </c>
      <c r="Q62" s="26"/>
      <c r="R62" s="26"/>
      <c r="S62" s="26"/>
    </row>
    <row r="63">
      <c r="A63" s="26"/>
      <c r="B63" s="45" t="s">
        <v>65</v>
      </c>
      <c r="E63" s="54"/>
      <c r="F63" s="46">
        <v>117.6</v>
      </c>
      <c r="G63" s="47"/>
      <c r="H63" s="46">
        <v>117.6</v>
      </c>
      <c r="I63" s="47"/>
      <c r="J63" s="46">
        <v>117.6</v>
      </c>
      <c r="K63" s="47"/>
      <c r="L63" s="46">
        <v>117.6</v>
      </c>
      <c r="M63" s="47"/>
      <c r="N63" s="46">
        <v>117.6</v>
      </c>
      <c r="O63" s="47"/>
      <c r="P63" s="46">
        <v>117.6</v>
      </c>
      <c r="Q63" s="26"/>
      <c r="R63" s="26"/>
      <c r="S63" s="26"/>
    </row>
    <row r="64">
      <c r="A64" s="26"/>
      <c r="B64" s="45"/>
      <c r="C64" s="45"/>
      <c r="D64" s="45"/>
      <c r="E64" s="54"/>
      <c r="F64" s="46"/>
      <c r="G64" s="47"/>
      <c r="H64" s="46"/>
      <c r="I64" s="47"/>
      <c r="J64" s="46"/>
      <c r="K64" s="47"/>
      <c r="L64" s="46"/>
      <c r="M64" s="47"/>
      <c r="N64" s="46"/>
      <c r="O64" s="47"/>
      <c r="P64" s="46"/>
      <c r="Q64" s="26"/>
      <c r="R64" s="26"/>
      <c r="S64" s="26"/>
    </row>
    <row r="65">
      <c r="A65" s="26"/>
      <c r="B65" s="53" t="s">
        <v>40</v>
      </c>
      <c r="C65" s="45"/>
      <c r="D65" s="45"/>
      <c r="E65" s="54"/>
      <c r="F65" s="46"/>
      <c r="G65" s="47"/>
      <c r="H65" s="46"/>
      <c r="I65" s="47"/>
      <c r="J65" s="46"/>
      <c r="K65" s="47"/>
      <c r="L65" s="46"/>
      <c r="M65" s="47"/>
      <c r="N65" s="46"/>
      <c r="O65" s="47"/>
      <c r="P65" s="46"/>
      <c r="Q65" s="26"/>
      <c r="R65" s="26"/>
      <c r="S65" s="26"/>
    </row>
    <row r="66">
      <c r="A66" s="26"/>
      <c r="B66" s="45" t="s">
        <v>70</v>
      </c>
      <c r="C66" s="45"/>
      <c r="D66" s="45"/>
      <c r="E66" s="54"/>
      <c r="F66" s="46">
        <f t="shared" ref="F66:G66" si="2">I33</f>
        <v>500</v>
      </c>
      <c r="G66" s="46" t="str">
        <f t="shared" si="2"/>
        <v/>
      </c>
      <c r="H66" s="46">
        <f t="shared" ref="H66:I66" si="3">I33</f>
        <v>500</v>
      </c>
      <c r="I66" s="46" t="str">
        <f t="shared" si="3"/>
        <v/>
      </c>
      <c r="J66" s="46">
        <f>I33</f>
        <v>500</v>
      </c>
      <c r="K66" s="46" t="str">
        <f>L33</f>
        <v/>
      </c>
      <c r="L66" s="46">
        <f>I33</f>
        <v>500</v>
      </c>
      <c r="M66" s="47"/>
      <c r="N66" s="46">
        <f>I33</f>
        <v>500</v>
      </c>
      <c r="O66" s="47"/>
      <c r="P66" s="46">
        <f>I33</f>
        <v>500</v>
      </c>
      <c r="Q66" s="26"/>
      <c r="R66" s="26"/>
      <c r="S66" s="26"/>
    </row>
    <row r="67">
      <c r="A67" s="26"/>
      <c r="B67" s="45" t="s">
        <v>72</v>
      </c>
      <c r="C67" s="45"/>
      <c r="D67" s="45"/>
      <c r="E67" s="54"/>
      <c r="F67" s="46">
        <f>F66</f>
        <v>500</v>
      </c>
      <c r="G67" s="47"/>
      <c r="H67" s="46">
        <f>H66</f>
        <v>500</v>
      </c>
      <c r="I67" s="47"/>
      <c r="J67" s="46">
        <f>J66</f>
        <v>500</v>
      </c>
      <c r="K67" s="47"/>
      <c r="L67" s="46">
        <f>L66</f>
        <v>500</v>
      </c>
      <c r="M67" s="47"/>
      <c r="N67" s="46">
        <f>N66</f>
        <v>500</v>
      </c>
      <c r="O67" s="47"/>
      <c r="P67" s="46">
        <f>P66</f>
        <v>500</v>
      </c>
      <c r="Q67" s="26"/>
      <c r="R67" s="26"/>
      <c r="S67" s="26"/>
    </row>
    <row r="68">
      <c r="A68" s="26"/>
      <c r="B68" s="45" t="s">
        <v>65</v>
      </c>
      <c r="C68" s="45"/>
      <c r="D68" s="45"/>
      <c r="E68" s="54"/>
      <c r="F68" s="46">
        <v>50.0</v>
      </c>
      <c r="G68" s="47"/>
      <c r="H68" s="46">
        <v>50.0</v>
      </c>
      <c r="I68" s="47"/>
      <c r="J68" s="46">
        <v>50.0</v>
      </c>
      <c r="K68" s="47"/>
      <c r="L68" s="46">
        <v>50.0</v>
      </c>
      <c r="M68" s="47"/>
      <c r="N68" s="46">
        <v>50.0</v>
      </c>
      <c r="O68" s="47"/>
      <c r="P68" s="46">
        <v>50.0</v>
      </c>
      <c r="Q68" s="26"/>
      <c r="R68" s="26"/>
      <c r="S68" s="26"/>
    </row>
    <row r="69">
      <c r="A69" s="26"/>
      <c r="B69" s="1"/>
      <c r="C69" s="1"/>
      <c r="D69" s="1"/>
      <c r="E69" s="54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26"/>
      <c r="R69" s="26"/>
      <c r="S69" s="26"/>
    </row>
    <row r="70">
      <c r="A70" s="26"/>
      <c r="B70" s="45" t="s">
        <v>73</v>
      </c>
      <c r="E70" s="54"/>
      <c r="F70" s="46">
        <f t="shared" ref="F70:F71" si="4">F57+F62+F67</f>
        <v>5942</v>
      </c>
      <c r="G70" s="46"/>
      <c r="H70" s="46">
        <f t="shared" ref="H70:H71" si="5">H57+H62+H67</f>
        <v>5611.168281</v>
      </c>
      <c r="I70" s="46"/>
      <c r="J70" s="46">
        <f t="shared" ref="J70:J71" si="6">J57+J62+J67</f>
        <v>5247.564217</v>
      </c>
      <c r="K70" s="46"/>
      <c r="L70" s="46">
        <f t="shared" ref="L70:L71" si="7">L57+L62+L67</f>
        <v>4849.322054</v>
      </c>
      <c r="M70" s="46"/>
      <c r="N70" s="46">
        <f t="shared" ref="N70:N71" si="8">N57+N62+N67</f>
        <v>4414.485648</v>
      </c>
      <c r="O70" s="46"/>
      <c r="P70" s="46">
        <f t="shared" ref="P70:P71" si="9">P57+P62+P67</f>
        <v>3941.004407</v>
      </c>
      <c r="Q70" s="26"/>
      <c r="R70" s="26"/>
      <c r="S70" s="26"/>
    </row>
    <row r="71">
      <c r="A71" s="26"/>
      <c r="B71" s="45" t="s">
        <v>74</v>
      </c>
      <c r="E71" s="54"/>
      <c r="F71" s="46">
        <f t="shared" si="4"/>
        <v>318.84</v>
      </c>
      <c r="G71" s="46"/>
      <c r="H71" s="46">
        <f t="shared" si="5"/>
        <v>311.4633656</v>
      </c>
      <c r="I71" s="46"/>
      <c r="J71" s="46">
        <f t="shared" si="6"/>
        <v>297.57465</v>
      </c>
      <c r="K71" s="46"/>
      <c r="L71" s="46">
        <f t="shared" si="7"/>
        <v>282.3377254</v>
      </c>
      <c r="M71" s="46"/>
      <c r="N71" s="46">
        <f t="shared" si="8"/>
        <v>265.6761541</v>
      </c>
      <c r="O71" s="46"/>
      <c r="P71" s="46">
        <f t="shared" si="9"/>
        <v>247.5098011</v>
      </c>
      <c r="Q71" s="26"/>
      <c r="R71" s="26"/>
      <c r="S71" s="26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>
      <c r="A73" s="19" t="s">
        <v>1</v>
      </c>
      <c r="B73" s="55" t="s">
        <v>75</v>
      </c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7"/>
      <c r="S73" s="1"/>
    </row>
    <row r="74">
      <c r="A74" s="1"/>
      <c r="B74" s="7" t="s">
        <v>3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>
      <c r="A75" s="1"/>
      <c r="B75" s="1"/>
      <c r="C75" s="1"/>
      <c r="D75" s="1"/>
      <c r="E75" s="1"/>
      <c r="F75" s="42" t="s">
        <v>55</v>
      </c>
      <c r="G75" s="43"/>
      <c r="H75" s="42" t="s">
        <v>56</v>
      </c>
      <c r="I75" s="43"/>
      <c r="J75" s="42" t="s">
        <v>57</v>
      </c>
      <c r="K75" s="43"/>
      <c r="L75" s="42" t="s">
        <v>58</v>
      </c>
      <c r="M75" s="43"/>
      <c r="N75" s="42" t="s">
        <v>59</v>
      </c>
      <c r="O75" s="43"/>
      <c r="P75" s="42" t="s">
        <v>60</v>
      </c>
      <c r="Q75" s="1"/>
      <c r="R75" s="1"/>
      <c r="S75" s="1"/>
    </row>
    <row r="76" ht="11.25" customHeight="1">
      <c r="A76" s="1"/>
      <c r="B76" s="1"/>
      <c r="C76" s="1"/>
      <c r="D76" s="1"/>
      <c r="E76" s="1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1"/>
      <c r="R76" s="1"/>
      <c r="S76" s="1"/>
    </row>
    <row r="77">
      <c r="A77" s="1"/>
      <c r="B77" s="58" t="s">
        <v>76</v>
      </c>
      <c r="C77" s="1"/>
      <c r="D77" s="1"/>
      <c r="E77" s="1"/>
      <c r="F77" s="44"/>
      <c r="G77" s="44"/>
      <c r="H77" s="44" t="str">
        <f>F77</f>
        <v/>
      </c>
      <c r="I77" s="44"/>
      <c r="J77" s="44"/>
      <c r="K77" s="44"/>
      <c r="L77" s="44"/>
      <c r="M77" s="44"/>
      <c r="N77" s="44"/>
      <c r="O77" s="44"/>
      <c r="P77" s="44"/>
      <c r="Q77" s="1"/>
      <c r="R77" s="1"/>
      <c r="S77" s="1"/>
    </row>
    <row r="78">
      <c r="A78" s="1"/>
      <c r="B78" s="45" t="s">
        <v>77</v>
      </c>
      <c r="C78" s="1"/>
      <c r="D78" s="1"/>
      <c r="E78" s="1"/>
      <c r="F78" s="47">
        <f>F39/12</f>
        <v>183.45</v>
      </c>
      <c r="G78" s="44"/>
      <c r="H78" s="47">
        <f>H39/12</f>
        <v>190.788</v>
      </c>
      <c r="I78" s="44"/>
      <c r="J78" s="47">
        <f>J39/12</f>
        <v>198.41952</v>
      </c>
      <c r="K78" s="44"/>
      <c r="L78" s="47">
        <f>L39/12</f>
        <v>206.3563008</v>
      </c>
      <c r="M78" s="44"/>
      <c r="N78" s="47">
        <f>N39/12</f>
        <v>214.6105528</v>
      </c>
      <c r="O78" s="44"/>
      <c r="P78" s="47">
        <f>P39/12</f>
        <v>223.1949749</v>
      </c>
      <c r="Q78" s="1"/>
      <c r="R78" s="1"/>
      <c r="S78" s="1"/>
    </row>
    <row r="79">
      <c r="A79" s="1"/>
      <c r="B79" s="45" t="s">
        <v>78</v>
      </c>
      <c r="C79" s="1"/>
      <c r="D79" s="1"/>
      <c r="E79" s="1"/>
      <c r="F79" s="47">
        <f>F81+F80</f>
        <v>2518.4016</v>
      </c>
      <c r="G79" s="44"/>
      <c r="H79" s="47">
        <f>F79+25.2</f>
        <v>2543.6016</v>
      </c>
      <c r="I79" s="44"/>
      <c r="J79" s="47">
        <f>H79+25.2</f>
        <v>2568.8016</v>
      </c>
      <c r="K79" s="44"/>
      <c r="L79" s="47">
        <f>J79+25.2</f>
        <v>2594.0016</v>
      </c>
      <c r="M79" s="44"/>
      <c r="N79" s="47">
        <f>L79+25.2</f>
        <v>2619.2016</v>
      </c>
      <c r="O79" s="44"/>
      <c r="P79" s="47">
        <f>N79+25.2</f>
        <v>2644.4016</v>
      </c>
      <c r="Q79" s="1"/>
      <c r="R79" s="1"/>
      <c r="S79" s="1"/>
    </row>
    <row r="80">
      <c r="A80" s="1"/>
      <c r="B80" s="45" t="s">
        <v>79</v>
      </c>
      <c r="C80" s="1"/>
      <c r="D80" s="1"/>
      <c r="E80" s="1"/>
      <c r="F80" s="47">
        <f>F42</f>
        <v>228.9456</v>
      </c>
      <c r="G80" s="44"/>
      <c r="H80" s="47">
        <f>F80+H42</f>
        <v>467.049024</v>
      </c>
      <c r="I80" s="44"/>
      <c r="J80" s="47">
        <f>H80+J42</f>
        <v>714.676585</v>
      </c>
      <c r="K80" s="44"/>
      <c r="L80" s="47">
        <f>J80+L42</f>
        <v>972.2092484</v>
      </c>
      <c r="M80" s="44"/>
      <c r="N80" s="47">
        <f>L80+N42</f>
        <v>1240.043218</v>
      </c>
      <c r="O80" s="44"/>
      <c r="P80" s="47">
        <f>N80+P42</f>
        <v>1518.590547</v>
      </c>
      <c r="Q80" s="1"/>
      <c r="R80" s="1"/>
      <c r="S80" s="1"/>
    </row>
    <row r="81">
      <c r="A81" s="1"/>
      <c r="B81" s="45" t="s">
        <v>80</v>
      </c>
      <c r="C81" s="1"/>
      <c r="D81" s="1"/>
      <c r="E81" s="1"/>
      <c r="F81" s="47">
        <f>F80*10</f>
        <v>2289.456</v>
      </c>
      <c r="G81" s="44"/>
      <c r="H81" s="47">
        <f>H79-H80</f>
        <v>2076.552576</v>
      </c>
      <c r="I81" s="44"/>
      <c r="J81" s="47">
        <f>J79-J80</f>
        <v>1854.125015</v>
      </c>
      <c r="K81" s="44"/>
      <c r="L81" s="47">
        <f>L79-L80</f>
        <v>1621.792352</v>
      </c>
      <c r="M81" s="44"/>
      <c r="N81" s="47">
        <f>N79-N80</f>
        <v>1379.158382</v>
      </c>
      <c r="O81" s="44"/>
      <c r="P81" s="47">
        <f>P79-P80</f>
        <v>1125.811053</v>
      </c>
      <c r="Q81" s="1"/>
      <c r="R81" s="1"/>
      <c r="S81" s="1"/>
    </row>
    <row r="82">
      <c r="A82" s="1"/>
      <c r="B82" s="45" t="s">
        <v>81</v>
      </c>
      <c r="C82" s="1"/>
      <c r="D82" s="1"/>
      <c r="E82" s="1"/>
      <c r="F82" s="47">
        <f>F127</f>
        <v>49.86438</v>
      </c>
      <c r="G82" s="44"/>
      <c r="H82" s="47">
        <f>H127</f>
        <v>31.23273366</v>
      </c>
      <c r="I82" s="44"/>
      <c r="J82" s="47">
        <f>J127</f>
        <v>59.26214693</v>
      </c>
      <c r="K82" s="44"/>
      <c r="L82" s="47">
        <f>L127</f>
        <v>137.1665846</v>
      </c>
      <c r="M82" s="44"/>
      <c r="N82" s="47">
        <f>N127</f>
        <v>268.3268365</v>
      </c>
      <c r="O82" s="44"/>
      <c r="P82" s="47">
        <f>P127</f>
        <v>456.298277</v>
      </c>
      <c r="Q82" s="1"/>
      <c r="R82" s="1"/>
      <c r="S82" s="1"/>
    </row>
    <row r="83">
      <c r="A83" s="1"/>
      <c r="B83" s="45" t="s">
        <v>82</v>
      </c>
      <c r="C83" s="1"/>
      <c r="D83" s="1"/>
      <c r="E83" s="1"/>
      <c r="F83" s="47">
        <f>6412</f>
        <v>6412</v>
      </c>
      <c r="G83" s="47"/>
      <c r="H83" s="47">
        <f>6412</f>
        <v>6412</v>
      </c>
      <c r="I83" s="47"/>
      <c r="J83" s="47">
        <f>6412</f>
        <v>6412</v>
      </c>
      <c r="K83" s="47"/>
      <c r="L83" s="47">
        <f>6412</f>
        <v>6412</v>
      </c>
      <c r="M83" s="47"/>
      <c r="N83" s="47">
        <f>6412</f>
        <v>6412</v>
      </c>
      <c r="O83" s="47"/>
      <c r="P83" s="47">
        <f>6412</f>
        <v>6412</v>
      </c>
      <c r="Q83" s="1"/>
      <c r="R83" s="1"/>
      <c r="S83" s="1"/>
    </row>
    <row r="84">
      <c r="A84" s="1"/>
      <c r="B84" s="45" t="s">
        <v>83</v>
      </c>
      <c r="C84" s="1"/>
      <c r="D84" s="1"/>
      <c r="E84" s="1"/>
      <c r="F84" s="47">
        <f>F78+F81+F82+F83</f>
        <v>8934.77038</v>
      </c>
      <c r="G84" s="44"/>
      <c r="H84" s="47">
        <f>H78+H81+H82+H83</f>
        <v>8710.57331</v>
      </c>
      <c r="I84" s="44"/>
      <c r="J84" s="47">
        <f>J78+J81+J82+J83</f>
        <v>8523.806682</v>
      </c>
      <c r="K84" s="44"/>
      <c r="L84" s="47">
        <f>L78+L81+L82+L83</f>
        <v>8377.315237</v>
      </c>
      <c r="M84" s="44"/>
      <c r="N84" s="47">
        <f>N78+N81+N82+N83</f>
        <v>8274.095771</v>
      </c>
      <c r="O84" s="44"/>
      <c r="P84" s="47">
        <f>P78+P81+P82+P83</f>
        <v>8217.304305</v>
      </c>
      <c r="Q84" s="1"/>
      <c r="R84" s="1"/>
      <c r="S84" s="1"/>
    </row>
    <row r="85">
      <c r="A85" s="1"/>
      <c r="B85" s="58" t="s">
        <v>84</v>
      </c>
      <c r="C85" s="1"/>
      <c r="D85" s="1"/>
      <c r="E85" s="1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1"/>
      <c r="R85" s="1"/>
      <c r="S85" s="1"/>
    </row>
    <row r="86">
      <c r="A86" s="1"/>
      <c r="B86" s="45" t="s">
        <v>85</v>
      </c>
      <c r="C86" s="1"/>
      <c r="D86" s="1"/>
      <c r="E86" s="1"/>
      <c r="F86" s="47">
        <f>(F39-F40)/12</f>
        <v>125.66325</v>
      </c>
      <c r="G86" s="44"/>
      <c r="H86" s="47">
        <f>(H39-H40)/12</f>
        <v>130.68978</v>
      </c>
      <c r="I86" s="44"/>
      <c r="J86" s="47">
        <f>(J39-J40)/12</f>
        <v>135.9173712</v>
      </c>
      <c r="K86" s="44"/>
      <c r="L86" s="47">
        <f>(L39-L40)/12</f>
        <v>141.354066</v>
      </c>
      <c r="M86" s="44"/>
      <c r="N86" s="47">
        <f>(N39-N40)/12</f>
        <v>147.0082287</v>
      </c>
      <c r="O86" s="44"/>
      <c r="P86" s="47">
        <f>(P39-P40)/12</f>
        <v>152.8885578</v>
      </c>
      <c r="Q86" s="1"/>
      <c r="R86" s="1"/>
      <c r="S86" s="1"/>
    </row>
    <row r="87">
      <c r="A87" s="1"/>
      <c r="B87" s="45" t="s">
        <v>86</v>
      </c>
      <c r="C87" s="1"/>
      <c r="D87" s="1"/>
      <c r="E87" s="1"/>
      <c r="F87" s="46">
        <f>F39*0.02</f>
        <v>44.028</v>
      </c>
      <c r="G87" s="44"/>
      <c r="H87" s="47">
        <f>H39*0.02</f>
        <v>45.78912</v>
      </c>
      <c r="I87" s="44"/>
      <c r="J87" s="47">
        <f>J39*0.02</f>
        <v>47.6206848</v>
      </c>
      <c r="K87" s="44"/>
      <c r="L87" s="47">
        <f>L39*0.02</f>
        <v>49.52551219</v>
      </c>
      <c r="M87" s="44"/>
      <c r="N87" s="47">
        <f>N39*0.02</f>
        <v>51.50653268</v>
      </c>
      <c r="O87" s="44"/>
      <c r="P87" s="47">
        <f>P39*0.02</f>
        <v>53.56679399</v>
      </c>
      <c r="Q87" s="1"/>
      <c r="R87" s="1"/>
      <c r="S87" s="1"/>
    </row>
    <row r="88">
      <c r="A88" s="1"/>
      <c r="B88" s="45" t="s">
        <v>29</v>
      </c>
      <c r="C88" s="1"/>
      <c r="D88" s="1"/>
      <c r="E88" s="1"/>
      <c r="F88" s="47">
        <f>F57</f>
        <v>3762</v>
      </c>
      <c r="G88" s="44"/>
      <c r="H88" s="47">
        <f>H57</f>
        <v>3431.168281</v>
      </c>
      <c r="I88" s="44"/>
      <c r="J88" s="47">
        <f>J57</f>
        <v>3067.564217</v>
      </c>
      <c r="K88" s="44"/>
      <c r="L88" s="47">
        <f>L57</f>
        <v>2669.322054</v>
      </c>
      <c r="M88" s="44"/>
      <c r="N88" s="47">
        <f>N57</f>
        <v>2234.485648</v>
      </c>
      <c r="O88" s="44"/>
      <c r="P88" s="47">
        <f>P57</f>
        <v>1761.004407</v>
      </c>
      <c r="Q88" s="1"/>
      <c r="R88" s="1"/>
      <c r="S88" s="1"/>
    </row>
    <row r="89">
      <c r="A89" s="1"/>
      <c r="B89" s="45" t="s">
        <v>35</v>
      </c>
      <c r="C89" s="1"/>
      <c r="D89" s="1"/>
      <c r="E89" s="1"/>
      <c r="F89" s="47">
        <f>F62</f>
        <v>1680</v>
      </c>
      <c r="G89" s="44"/>
      <c r="H89" s="47">
        <f>H62</f>
        <v>1680</v>
      </c>
      <c r="I89" s="44"/>
      <c r="J89" s="47">
        <f>J62</f>
        <v>1680</v>
      </c>
      <c r="K89" s="44"/>
      <c r="L89" s="47">
        <f>L62</f>
        <v>1680</v>
      </c>
      <c r="M89" s="44"/>
      <c r="N89" s="47">
        <f>N62</f>
        <v>1680</v>
      </c>
      <c r="O89" s="44"/>
      <c r="P89" s="47">
        <f>P62</f>
        <v>1680</v>
      </c>
      <c r="Q89" s="1"/>
      <c r="R89" s="1"/>
      <c r="S89" s="1"/>
    </row>
    <row r="90">
      <c r="A90" s="1"/>
      <c r="B90" s="45" t="s">
        <v>40</v>
      </c>
      <c r="C90" s="1"/>
      <c r="D90" s="1"/>
      <c r="E90" s="1"/>
      <c r="F90" s="46">
        <f t="shared" ref="F90:G90" si="10">I33</f>
        <v>500</v>
      </c>
      <c r="G90" s="59" t="str">
        <f t="shared" si="10"/>
        <v/>
      </c>
      <c r="H90" s="59">
        <f t="shared" ref="H90:I90" si="11">I33</f>
        <v>500</v>
      </c>
      <c r="I90" s="59" t="str">
        <f t="shared" si="11"/>
        <v/>
      </c>
      <c r="J90" s="59">
        <f>I33</f>
        <v>500</v>
      </c>
      <c r="K90" s="59" t="str">
        <f>N33</f>
        <v/>
      </c>
      <c r="L90" s="59">
        <f>I33</f>
        <v>500</v>
      </c>
      <c r="M90" s="59" t="str">
        <f>P33</f>
        <v/>
      </c>
      <c r="N90" s="59">
        <f>I33</f>
        <v>500</v>
      </c>
      <c r="O90" s="59" t="str">
        <f>R33</f>
        <v/>
      </c>
      <c r="P90" s="59">
        <f>I33</f>
        <v>500</v>
      </c>
      <c r="Q90" s="1"/>
      <c r="R90" s="1"/>
      <c r="S90" s="1"/>
    </row>
    <row r="91">
      <c r="A91" s="1"/>
      <c r="B91" s="45" t="s">
        <v>87</v>
      </c>
      <c r="C91" s="1"/>
      <c r="D91" s="1"/>
      <c r="E91" s="1"/>
      <c r="F91" s="47">
        <f>F86+F87+F88+F89+F90</f>
        <v>6111.69125</v>
      </c>
      <c r="G91" s="44"/>
      <c r="H91" s="47">
        <f>H86+H87+H88+H89+H90</f>
        <v>5787.647181</v>
      </c>
      <c r="I91" s="44"/>
      <c r="J91" s="47">
        <f>J86+J87+J88+J89+J90</f>
        <v>5431.102273</v>
      </c>
      <c r="K91" s="44"/>
      <c r="L91" s="47">
        <f>L86+L87+L88+L89+L90</f>
        <v>5040.201633</v>
      </c>
      <c r="M91" s="44"/>
      <c r="N91" s="47">
        <f>N86+N87+N88+N89+N90</f>
        <v>4613.00041</v>
      </c>
      <c r="O91" s="44"/>
      <c r="P91" s="47">
        <f>P86+P87+P88+P89+P90</f>
        <v>4147.459759</v>
      </c>
      <c r="Q91" s="1"/>
      <c r="R91" s="1"/>
      <c r="S91" s="1"/>
    </row>
    <row r="92">
      <c r="A92" s="1"/>
      <c r="B92" s="58" t="s">
        <v>88</v>
      </c>
      <c r="C92" s="1"/>
      <c r="D92" s="1"/>
      <c r="E92" s="1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1"/>
      <c r="R92" s="1"/>
      <c r="S92" s="1"/>
    </row>
    <row r="93">
      <c r="A93" s="1"/>
      <c r="B93" s="45" t="s">
        <v>89</v>
      </c>
      <c r="C93" s="1"/>
      <c r="D93" s="1"/>
      <c r="E93" s="1"/>
      <c r="F93" s="47">
        <f t="shared" ref="F93:G93" si="12">I29</f>
        <v>2779.3</v>
      </c>
      <c r="G93" s="44" t="str">
        <f t="shared" si="12"/>
        <v/>
      </c>
      <c r="H93" s="47">
        <f>I29</f>
        <v>2779.3</v>
      </c>
      <c r="I93" s="44"/>
      <c r="J93" s="47">
        <f>I29</f>
        <v>2779.3</v>
      </c>
      <c r="K93" s="44"/>
      <c r="L93" s="47">
        <f>I29</f>
        <v>2779.3</v>
      </c>
      <c r="M93" s="44"/>
      <c r="N93" s="47">
        <f>I29</f>
        <v>2779.3</v>
      </c>
      <c r="O93" s="44"/>
      <c r="P93" s="47">
        <f>I29</f>
        <v>2779.3</v>
      </c>
      <c r="Q93" s="1"/>
      <c r="R93" s="1"/>
      <c r="S93" s="1"/>
    </row>
    <row r="94">
      <c r="A94" s="1"/>
      <c r="B94" s="45" t="s">
        <v>90</v>
      </c>
      <c r="C94" s="1"/>
      <c r="D94" s="1"/>
      <c r="E94" s="1"/>
      <c r="F94" s="46">
        <v>0.0</v>
      </c>
      <c r="G94" s="44"/>
      <c r="H94" s="47">
        <f>H47</f>
        <v>120.1282953</v>
      </c>
      <c r="I94" s="44"/>
      <c r="J94" s="47">
        <f>J47+H94</f>
        <v>263.5047975</v>
      </c>
      <c r="K94" s="44"/>
      <c r="L94" s="47">
        <f>L47+J94</f>
        <v>431.6142973</v>
      </c>
      <c r="M94" s="44"/>
      <c r="N94" s="47">
        <f>N47+L94</f>
        <v>626.0167333</v>
      </c>
      <c r="O94" s="44"/>
      <c r="P94" s="47">
        <f>P47+N94</f>
        <v>848.3506461</v>
      </c>
      <c r="Q94" s="1"/>
      <c r="R94" s="1"/>
      <c r="S94" s="1"/>
    </row>
    <row r="95">
      <c r="A95" s="1"/>
      <c r="B95" s="45" t="s">
        <v>91</v>
      </c>
      <c r="C95" s="1"/>
      <c r="D95" s="1"/>
      <c r="E95" s="1"/>
      <c r="F95" s="47">
        <f>F93+F94</f>
        <v>2779.3</v>
      </c>
      <c r="G95" s="44"/>
      <c r="H95" s="47">
        <f>H93+H94</f>
        <v>2899.428295</v>
      </c>
      <c r="I95" s="44"/>
      <c r="J95" s="47">
        <f>J93+J94</f>
        <v>3042.804798</v>
      </c>
      <c r="K95" s="44"/>
      <c r="L95" s="47">
        <f>L93+L94</f>
        <v>3210.914297</v>
      </c>
      <c r="M95" s="44"/>
      <c r="N95" s="47">
        <f>N93+N94</f>
        <v>3405.316733</v>
      </c>
      <c r="O95" s="44"/>
      <c r="P95" s="47">
        <f>P93+P94</f>
        <v>3627.650646</v>
      </c>
      <c r="Q95" s="1"/>
      <c r="R95" s="1"/>
      <c r="S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>
      <c r="A97" s="8" t="s">
        <v>1</v>
      </c>
      <c r="B97" s="39" t="s">
        <v>92</v>
      </c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1"/>
      <c r="S97" s="1"/>
    </row>
    <row r="98" ht="15.75" customHeight="1">
      <c r="A98" s="1"/>
      <c r="B98" s="7" t="s">
        <v>3</v>
      </c>
      <c r="C98" s="1"/>
      <c r="D98" s="1"/>
      <c r="E98" s="1"/>
      <c r="F98" s="19"/>
      <c r="G98" s="1"/>
      <c r="H98" s="19"/>
      <c r="I98" s="1"/>
      <c r="J98" s="19"/>
      <c r="K98" s="1"/>
      <c r="L98" s="19"/>
      <c r="M98" s="1"/>
      <c r="N98" s="19"/>
      <c r="O98" s="1"/>
      <c r="P98" s="45"/>
      <c r="Q98" s="1"/>
      <c r="R98" s="1"/>
      <c r="S98" s="1"/>
    </row>
    <row r="99">
      <c r="A99" s="1"/>
      <c r="B99" s="1"/>
      <c r="C99" s="1"/>
      <c r="D99" s="1"/>
      <c r="E99" s="1"/>
      <c r="F99" s="42" t="s">
        <v>55</v>
      </c>
      <c r="G99" s="43"/>
      <c r="H99" s="42" t="s">
        <v>56</v>
      </c>
      <c r="I99" s="43"/>
      <c r="J99" s="42" t="s">
        <v>57</v>
      </c>
      <c r="K99" s="43"/>
      <c r="L99" s="42" t="s">
        <v>58</v>
      </c>
      <c r="M99" s="43"/>
      <c r="N99" s="42" t="s">
        <v>59</v>
      </c>
      <c r="O99" s="43"/>
      <c r="P99" s="42" t="s">
        <v>60</v>
      </c>
      <c r="Q99" s="1"/>
      <c r="R99" s="1"/>
      <c r="S99" s="1"/>
    </row>
    <row r="100" ht="11.25" customHeight="1">
      <c r="A100" s="1"/>
      <c r="B100" s="1"/>
      <c r="C100" s="1"/>
      <c r="D100" s="1"/>
      <c r="E100" s="1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1"/>
      <c r="R100" s="1"/>
      <c r="S100" s="1"/>
    </row>
    <row r="101">
      <c r="A101" s="1"/>
      <c r="B101" s="58" t="s">
        <v>93</v>
      </c>
      <c r="C101" s="28"/>
      <c r="D101" s="28"/>
      <c r="E101" s="1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1"/>
      <c r="R101" s="1"/>
      <c r="S101" s="1"/>
    </row>
    <row r="102">
      <c r="A102" s="1"/>
      <c r="B102" s="45" t="s">
        <v>68</v>
      </c>
      <c r="C102" s="1"/>
      <c r="D102" s="1"/>
      <c r="E102" s="1"/>
      <c r="F102" s="47">
        <f t="shared" ref="F102:P102" si="13">F47</f>
        <v>101.95878</v>
      </c>
      <c r="G102" s="47" t="str">
        <f t="shared" si="13"/>
        <v/>
      </c>
      <c r="H102" s="47">
        <f t="shared" si="13"/>
        <v>120.1282953</v>
      </c>
      <c r="I102" s="47" t="str">
        <f t="shared" si="13"/>
        <v/>
      </c>
      <c r="J102" s="47">
        <f t="shared" si="13"/>
        <v>143.3765023</v>
      </c>
      <c r="K102" s="47" t="str">
        <f t="shared" si="13"/>
        <v/>
      </c>
      <c r="L102" s="47">
        <f t="shared" si="13"/>
        <v>168.1094997</v>
      </c>
      <c r="M102" s="47" t="str">
        <f t="shared" si="13"/>
        <v/>
      </c>
      <c r="N102" s="47">
        <f t="shared" si="13"/>
        <v>194.402436</v>
      </c>
      <c r="O102" s="47" t="str">
        <f t="shared" si="13"/>
        <v/>
      </c>
      <c r="P102" s="47">
        <f t="shared" si="13"/>
        <v>222.3339128</v>
      </c>
      <c r="Q102" s="1"/>
      <c r="R102" s="1"/>
      <c r="S102" s="1"/>
    </row>
    <row r="103">
      <c r="A103" s="1"/>
      <c r="B103" s="45" t="s">
        <v>94</v>
      </c>
      <c r="C103" s="1"/>
      <c r="D103" s="1"/>
      <c r="E103" s="1"/>
      <c r="F103" s="47">
        <f>F42</f>
        <v>228.9456</v>
      </c>
      <c r="G103" s="44"/>
      <c r="H103" s="47">
        <f>H42</f>
        <v>238.103424</v>
      </c>
      <c r="I103" s="44"/>
      <c r="J103" s="47">
        <f t="shared" ref="J103:P103" si="14">J42</f>
        <v>247.627561</v>
      </c>
      <c r="K103" s="47" t="str">
        <f t="shared" si="14"/>
        <v/>
      </c>
      <c r="L103" s="47">
        <f t="shared" si="14"/>
        <v>257.5326634</v>
      </c>
      <c r="M103" s="47" t="str">
        <f t="shared" si="14"/>
        <v/>
      </c>
      <c r="N103" s="47">
        <f t="shared" si="14"/>
        <v>267.8339699</v>
      </c>
      <c r="O103" s="47" t="str">
        <f t="shared" si="14"/>
        <v/>
      </c>
      <c r="P103" s="47">
        <f t="shared" si="14"/>
        <v>278.5473287</v>
      </c>
      <c r="Q103" s="1"/>
      <c r="R103" s="1"/>
      <c r="S103" s="1"/>
    </row>
    <row r="104">
      <c r="A104" s="1"/>
      <c r="B104" s="45" t="s">
        <v>95</v>
      </c>
      <c r="C104" s="1"/>
      <c r="D104" s="1"/>
      <c r="E104" s="1"/>
      <c r="F104" s="47">
        <f>-F39*I17</f>
        <v>-24.2154</v>
      </c>
      <c r="G104" s="44"/>
      <c r="H104" s="47">
        <f>-H39*I17</f>
        <v>-25.184016</v>
      </c>
      <c r="I104" s="44"/>
      <c r="J104" s="47">
        <f>-J39*I17</f>
        <v>-26.19137664</v>
      </c>
      <c r="K104" s="44"/>
      <c r="L104" s="47">
        <f>-L39*I17</f>
        <v>-27.23903171</v>
      </c>
      <c r="M104" s="44"/>
      <c r="N104" s="47">
        <f>-N39*I17</f>
        <v>-28.32859297</v>
      </c>
      <c r="O104" s="44"/>
      <c r="P104" s="47">
        <f>-P39*I17</f>
        <v>-29.46173669</v>
      </c>
      <c r="Q104" s="1"/>
      <c r="R104" s="1"/>
      <c r="S104" s="1"/>
    </row>
    <row r="105">
      <c r="A105" s="1"/>
      <c r="B105" s="45" t="s">
        <v>96</v>
      </c>
      <c r="C105" s="1"/>
      <c r="D105" s="1"/>
      <c r="E105" s="1"/>
      <c r="F105" s="46">
        <v>0.0</v>
      </c>
      <c r="G105" s="44"/>
      <c r="H105" s="47">
        <f>-(H39-F39)*I18</f>
        <v>-2.2014</v>
      </c>
      <c r="I105" s="44"/>
      <c r="J105" s="47">
        <f>-(J39-H39)*I18</f>
        <v>-2.289456</v>
      </c>
      <c r="K105" s="44"/>
      <c r="L105" s="47">
        <f>-(L39-J39)*I18</f>
        <v>-2.38103424</v>
      </c>
      <c r="M105" s="44"/>
      <c r="N105" s="47">
        <f>-(N39-L39)*I18</f>
        <v>-2.47627561</v>
      </c>
      <c r="O105" s="44"/>
      <c r="P105" s="47">
        <f>-(P39-N39)*I18</f>
        <v>-2.575326634</v>
      </c>
      <c r="Q105" s="1"/>
      <c r="R105" s="1"/>
      <c r="S105" s="1"/>
    </row>
    <row r="106">
      <c r="A106" s="1"/>
      <c r="B106" s="45" t="s">
        <v>97</v>
      </c>
      <c r="C106" s="1"/>
      <c r="D106" s="1"/>
      <c r="E106" s="1"/>
      <c r="F106" s="47">
        <f>F102+F103-24.2-F105</f>
        <v>306.70438</v>
      </c>
      <c r="G106" s="44"/>
      <c r="H106" s="47">
        <f>H102+H103-25.2-2.2</f>
        <v>330.8317193</v>
      </c>
      <c r="I106" s="44"/>
      <c r="J106" s="47">
        <f>J102+J103-25.2-2.2</f>
        <v>363.6040632</v>
      </c>
      <c r="K106" s="44"/>
      <c r="L106" s="47">
        <f>L102+L103-25.2-2.2</f>
        <v>398.2421631</v>
      </c>
      <c r="M106" s="44"/>
      <c r="N106" s="47">
        <f>N102+N103-25.2-2.2</f>
        <v>434.8364059</v>
      </c>
      <c r="O106" s="44"/>
      <c r="P106" s="47">
        <f>P102+P103-25.2-2.2</f>
        <v>473.4812416</v>
      </c>
      <c r="Q106" s="1"/>
      <c r="R106" s="1"/>
      <c r="S106" s="1"/>
    </row>
    <row r="107">
      <c r="A107" s="1"/>
      <c r="B107" s="45" t="s">
        <v>98</v>
      </c>
      <c r="C107" s="1"/>
      <c r="D107" s="1"/>
      <c r="E107" s="1"/>
      <c r="F107" s="47">
        <f>F55</f>
        <v>38</v>
      </c>
      <c r="G107" s="44"/>
      <c r="H107" s="47">
        <f t="shared" ref="H107:J107" si="15">H55</f>
        <v>38</v>
      </c>
      <c r="I107" s="47" t="str">
        <f t="shared" si="15"/>
        <v/>
      </c>
      <c r="J107" s="47">
        <f t="shared" si="15"/>
        <v>38</v>
      </c>
      <c r="K107" s="44"/>
      <c r="L107" s="47">
        <f t="shared" ref="L107:P107" si="16">L55</f>
        <v>38</v>
      </c>
      <c r="M107" s="47" t="str">
        <f t="shared" si="16"/>
        <v/>
      </c>
      <c r="N107" s="47">
        <f t="shared" si="16"/>
        <v>38</v>
      </c>
      <c r="O107" s="47" t="str">
        <f t="shared" si="16"/>
        <v/>
      </c>
      <c r="P107" s="47">
        <f t="shared" si="16"/>
        <v>38</v>
      </c>
      <c r="Q107" s="1"/>
      <c r="R107" s="1"/>
      <c r="S107" s="1"/>
    </row>
    <row r="108">
      <c r="A108" s="1"/>
      <c r="B108" s="45" t="s">
        <v>99</v>
      </c>
      <c r="C108" s="1"/>
      <c r="D108" s="1"/>
      <c r="E108" s="1"/>
      <c r="F108" s="46">
        <v>0.0</v>
      </c>
      <c r="G108" s="44"/>
      <c r="H108" s="47">
        <f>H106-H107</f>
        <v>292.8317193</v>
      </c>
      <c r="I108" s="44"/>
      <c r="J108" s="47">
        <f>J106-J107</f>
        <v>325.6040632</v>
      </c>
      <c r="K108" s="44"/>
      <c r="L108" s="47">
        <f>L106-L107</f>
        <v>360.2421631</v>
      </c>
      <c r="M108" s="44"/>
      <c r="N108" s="47">
        <f>N106-N107</f>
        <v>396.8364059</v>
      </c>
      <c r="O108" s="44"/>
      <c r="P108" s="47">
        <f>P106-P107</f>
        <v>435.4812416</v>
      </c>
      <c r="Q108" s="1"/>
      <c r="R108" s="1"/>
      <c r="S108" s="1"/>
    </row>
    <row r="109">
      <c r="A109" s="1"/>
      <c r="B109" s="58" t="s">
        <v>100</v>
      </c>
      <c r="C109" s="28"/>
      <c r="D109" s="28"/>
      <c r="E109" s="1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1"/>
      <c r="R109" s="1"/>
      <c r="S109" s="1"/>
    </row>
    <row r="110">
      <c r="A110" s="1"/>
      <c r="B110" s="45" t="s">
        <v>101</v>
      </c>
      <c r="C110" s="1"/>
      <c r="D110" s="1"/>
      <c r="E110" s="1"/>
      <c r="F110" s="47">
        <f t="shared" ref="F110:P110" si="17">F104</f>
        <v>-24.2154</v>
      </c>
      <c r="G110" s="44" t="str">
        <f t="shared" si="17"/>
        <v/>
      </c>
      <c r="H110" s="47">
        <f t="shared" si="17"/>
        <v>-25.184016</v>
      </c>
      <c r="I110" s="44" t="str">
        <f t="shared" si="17"/>
        <v/>
      </c>
      <c r="J110" s="47">
        <f t="shared" si="17"/>
        <v>-26.19137664</v>
      </c>
      <c r="K110" s="44" t="str">
        <f t="shared" si="17"/>
        <v/>
      </c>
      <c r="L110" s="47">
        <f t="shared" si="17"/>
        <v>-27.23903171</v>
      </c>
      <c r="M110" s="44" t="str">
        <f t="shared" si="17"/>
        <v/>
      </c>
      <c r="N110" s="47">
        <f t="shared" si="17"/>
        <v>-28.32859297</v>
      </c>
      <c r="O110" s="44" t="str">
        <f t="shared" si="17"/>
        <v/>
      </c>
      <c r="P110" s="47">
        <f t="shared" si="17"/>
        <v>-29.46173669</v>
      </c>
      <c r="Q110" s="1"/>
      <c r="R110" s="1"/>
      <c r="S110" s="1"/>
    </row>
    <row r="111">
      <c r="A111" s="1"/>
      <c r="B111" s="58" t="s">
        <v>102</v>
      </c>
      <c r="C111" s="28"/>
      <c r="D111" s="28"/>
      <c r="E111" s="1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1"/>
      <c r="R111" s="1"/>
      <c r="S111" s="1"/>
    </row>
    <row r="112">
      <c r="A112" s="1"/>
      <c r="B112" s="45" t="s">
        <v>103</v>
      </c>
      <c r="C112" s="1"/>
      <c r="D112" s="1"/>
      <c r="E112" s="1"/>
      <c r="F112" s="47">
        <f>F54</f>
        <v>3800</v>
      </c>
      <c r="G112" s="44"/>
      <c r="H112" s="37" t="s">
        <v>104</v>
      </c>
      <c r="I112" s="44"/>
      <c r="J112" s="37" t="s">
        <v>104</v>
      </c>
      <c r="K112" s="37"/>
      <c r="L112" s="37" t="s">
        <v>104</v>
      </c>
      <c r="M112" s="37"/>
      <c r="N112" s="37" t="s">
        <v>104</v>
      </c>
      <c r="O112" s="37"/>
      <c r="P112" s="37" t="s">
        <v>104</v>
      </c>
      <c r="Q112" s="1"/>
      <c r="R112" s="1"/>
      <c r="S112" s="1"/>
    </row>
    <row r="113">
      <c r="A113" s="1"/>
      <c r="B113" s="45" t="s">
        <v>105</v>
      </c>
      <c r="C113" s="1"/>
      <c r="D113" s="1"/>
      <c r="E113" s="1"/>
      <c r="F113" s="47">
        <f>I29</f>
        <v>2779.3</v>
      </c>
      <c r="G113" s="44"/>
      <c r="H113" s="37" t="s">
        <v>104</v>
      </c>
      <c r="I113" s="37"/>
      <c r="J113" s="37" t="s">
        <v>104</v>
      </c>
      <c r="K113" s="37"/>
      <c r="L113" s="37" t="s">
        <v>104</v>
      </c>
      <c r="M113" s="37"/>
      <c r="N113" s="37" t="s">
        <v>104</v>
      </c>
      <c r="O113" s="37"/>
      <c r="P113" s="37" t="s">
        <v>104</v>
      </c>
      <c r="Q113" s="1"/>
      <c r="R113" s="1"/>
      <c r="S113" s="1"/>
    </row>
    <row r="114">
      <c r="A114" s="1"/>
      <c r="B114" s="45" t="s">
        <v>106</v>
      </c>
      <c r="C114" s="1"/>
      <c r="D114" s="1"/>
      <c r="E114" s="1"/>
      <c r="F114" s="47">
        <f>F61</f>
        <v>1680</v>
      </c>
      <c r="G114" s="44"/>
      <c r="H114" s="37" t="s">
        <v>104</v>
      </c>
      <c r="I114" s="37"/>
      <c r="J114" s="37" t="s">
        <v>104</v>
      </c>
      <c r="K114" s="37"/>
      <c r="L114" s="37" t="s">
        <v>104</v>
      </c>
      <c r="M114" s="37"/>
      <c r="N114" s="37" t="s">
        <v>104</v>
      </c>
      <c r="O114" s="37"/>
      <c r="P114" s="37" t="s">
        <v>104</v>
      </c>
      <c r="Q114" s="1"/>
      <c r="R114" s="1"/>
      <c r="S114" s="1"/>
    </row>
    <row r="115">
      <c r="A115" s="1"/>
      <c r="B115" s="45" t="s">
        <v>107</v>
      </c>
      <c r="C115" s="1"/>
      <c r="D115" s="1"/>
      <c r="E115" s="1"/>
      <c r="F115" s="47">
        <f>I33</f>
        <v>500</v>
      </c>
      <c r="G115" s="44"/>
      <c r="H115" s="37" t="s">
        <v>104</v>
      </c>
      <c r="I115" s="37"/>
      <c r="J115" s="37" t="s">
        <v>104</v>
      </c>
      <c r="K115" s="37"/>
      <c r="L115" s="37" t="s">
        <v>104</v>
      </c>
      <c r="M115" s="37"/>
      <c r="N115" s="37" t="s">
        <v>104</v>
      </c>
      <c r="O115" s="37"/>
      <c r="P115" s="37" t="s">
        <v>104</v>
      </c>
      <c r="Q115" s="37"/>
      <c r="R115" s="1"/>
      <c r="S115" s="1"/>
    </row>
    <row r="116">
      <c r="A116" s="1"/>
      <c r="B116" s="45" t="s">
        <v>108</v>
      </c>
      <c r="C116" s="1"/>
      <c r="D116" s="1"/>
      <c r="E116" s="1"/>
      <c r="F116" s="60">
        <f>E16</f>
        <v>7201.1</v>
      </c>
      <c r="G116" s="44"/>
      <c r="H116" s="37" t="s">
        <v>104</v>
      </c>
      <c r="I116" s="37"/>
      <c r="J116" s="37" t="s">
        <v>104</v>
      </c>
      <c r="K116" s="37"/>
      <c r="L116" s="37" t="s">
        <v>104</v>
      </c>
      <c r="M116" s="37"/>
      <c r="N116" s="37" t="s">
        <v>104</v>
      </c>
      <c r="O116" s="37"/>
      <c r="P116" s="37" t="s">
        <v>104</v>
      </c>
      <c r="Q116" s="1"/>
      <c r="R116" s="1"/>
      <c r="S116" s="1"/>
    </row>
    <row r="117">
      <c r="A117" s="1"/>
      <c r="B117" s="45" t="s">
        <v>109</v>
      </c>
      <c r="C117" s="1"/>
      <c r="D117" s="1"/>
      <c r="E117" s="1"/>
      <c r="F117" s="47">
        <f t="shared" ref="F117:F119" si="18">E28</f>
        <v>1306</v>
      </c>
      <c r="G117" s="44"/>
      <c r="H117" s="37" t="s">
        <v>104</v>
      </c>
      <c r="I117" s="37"/>
      <c r="J117" s="37" t="s">
        <v>104</v>
      </c>
      <c r="K117" s="37"/>
      <c r="L117" s="37" t="s">
        <v>104</v>
      </c>
      <c r="M117" s="37"/>
      <c r="N117" s="37" t="s">
        <v>104</v>
      </c>
      <c r="O117" s="37"/>
      <c r="P117" s="37" t="s">
        <v>104</v>
      </c>
      <c r="Q117" s="1"/>
      <c r="R117" s="1"/>
      <c r="S117" s="1"/>
    </row>
    <row r="118">
      <c r="A118" s="1"/>
      <c r="B118" s="45" t="s">
        <v>110</v>
      </c>
      <c r="C118" s="1"/>
      <c r="D118" s="1"/>
      <c r="E118" s="1"/>
      <c r="F118" s="47">
        <f t="shared" si="18"/>
        <v>142.6</v>
      </c>
      <c r="G118" s="44"/>
      <c r="H118" s="37" t="s">
        <v>104</v>
      </c>
      <c r="I118" s="37"/>
      <c r="J118" s="37" t="s">
        <v>104</v>
      </c>
      <c r="K118" s="37"/>
      <c r="L118" s="37" t="s">
        <v>104</v>
      </c>
      <c r="M118" s="37"/>
      <c r="N118" s="37" t="s">
        <v>104</v>
      </c>
      <c r="O118" s="37"/>
      <c r="P118" s="37" t="s">
        <v>104</v>
      </c>
      <c r="Q118" s="1"/>
      <c r="R118" s="1"/>
      <c r="S118" s="1"/>
    </row>
    <row r="119">
      <c r="A119" s="1"/>
      <c r="B119" s="45" t="s">
        <v>111</v>
      </c>
      <c r="C119" s="1"/>
      <c r="D119" s="1"/>
      <c r="E119" s="1"/>
      <c r="F119" s="47">
        <f t="shared" si="18"/>
        <v>109.6</v>
      </c>
      <c r="G119" s="44"/>
      <c r="H119" s="37" t="s">
        <v>104</v>
      </c>
      <c r="I119" s="37"/>
      <c r="J119" s="37" t="s">
        <v>104</v>
      </c>
      <c r="K119" s="37"/>
      <c r="L119" s="37" t="s">
        <v>104</v>
      </c>
      <c r="M119" s="37"/>
      <c r="N119" s="37" t="s">
        <v>104</v>
      </c>
      <c r="O119" s="37"/>
      <c r="P119" s="37" t="s">
        <v>104</v>
      </c>
      <c r="Q119" s="1"/>
      <c r="R119" s="1"/>
      <c r="S119" s="1"/>
    </row>
    <row r="120">
      <c r="A120" s="1"/>
      <c r="B120" s="61" t="s">
        <v>112</v>
      </c>
      <c r="C120" s="1"/>
      <c r="D120" s="1"/>
      <c r="E120" s="1"/>
      <c r="F120" s="47">
        <f t="shared" ref="F120:P120" si="19">F71</f>
        <v>318.84</v>
      </c>
      <c r="G120" s="47" t="str">
        <f t="shared" si="19"/>
        <v/>
      </c>
      <c r="H120" s="47">
        <f t="shared" si="19"/>
        <v>311.4633656</v>
      </c>
      <c r="I120" s="47" t="str">
        <f t="shared" si="19"/>
        <v/>
      </c>
      <c r="J120" s="47">
        <f t="shared" si="19"/>
        <v>297.57465</v>
      </c>
      <c r="K120" s="47" t="str">
        <f t="shared" si="19"/>
        <v/>
      </c>
      <c r="L120" s="47">
        <f t="shared" si="19"/>
        <v>282.3377254</v>
      </c>
      <c r="M120" s="47" t="str">
        <f t="shared" si="19"/>
        <v/>
      </c>
      <c r="N120" s="47">
        <f t="shared" si="19"/>
        <v>265.6761541</v>
      </c>
      <c r="O120" s="47" t="str">
        <f t="shared" si="19"/>
        <v/>
      </c>
      <c r="P120" s="47">
        <f t="shared" si="19"/>
        <v>247.5098011</v>
      </c>
      <c r="Q120" s="1"/>
      <c r="R120" s="1"/>
      <c r="S120" s="1"/>
    </row>
    <row r="121">
      <c r="A121" s="1"/>
      <c r="B121" s="61" t="s">
        <v>98</v>
      </c>
      <c r="C121" s="1"/>
      <c r="D121" s="1"/>
      <c r="E121" s="1"/>
      <c r="F121" s="47">
        <f t="shared" ref="F121:J121" si="20">F55</f>
        <v>38</v>
      </c>
      <c r="G121" s="47" t="str">
        <f t="shared" si="20"/>
        <v/>
      </c>
      <c r="H121" s="47">
        <f t="shared" si="20"/>
        <v>38</v>
      </c>
      <c r="I121" s="47" t="str">
        <f t="shared" si="20"/>
        <v/>
      </c>
      <c r="J121" s="47">
        <f t="shared" si="20"/>
        <v>38</v>
      </c>
      <c r="K121" s="44"/>
      <c r="L121" s="47">
        <f t="shared" ref="L121:P121" si="21">L55</f>
        <v>38</v>
      </c>
      <c r="M121" s="47" t="str">
        <f t="shared" si="21"/>
        <v/>
      </c>
      <c r="N121" s="47">
        <f t="shared" si="21"/>
        <v>38</v>
      </c>
      <c r="O121" s="47" t="str">
        <f t="shared" si="21"/>
        <v/>
      </c>
      <c r="P121" s="47">
        <f t="shared" si="21"/>
        <v>38</v>
      </c>
      <c r="Q121" s="1"/>
      <c r="R121" s="1"/>
      <c r="S121" s="1"/>
    </row>
    <row r="122">
      <c r="A122" s="1"/>
      <c r="B122" s="61" t="s">
        <v>113</v>
      </c>
      <c r="C122" s="1"/>
      <c r="D122" s="1"/>
      <c r="E122" s="1"/>
      <c r="F122" s="47">
        <f>F112+F113+F114+F115-F116-F117-F118-F119-F120-F121</f>
        <v>-356.84</v>
      </c>
      <c r="G122" s="44"/>
      <c r="H122" s="47">
        <f>-(H120+H121+H56)</f>
        <v>-642.2950849</v>
      </c>
      <c r="I122" s="44"/>
      <c r="J122" s="47">
        <f>-(J120+J121+J56)</f>
        <v>-661.1787132</v>
      </c>
      <c r="K122" s="44"/>
      <c r="L122" s="47">
        <f>-(L120+L121+L56)</f>
        <v>-680.5798886</v>
      </c>
      <c r="M122" s="44"/>
      <c r="N122" s="47">
        <f>-(N120+N121+N56)</f>
        <v>-700.51256</v>
      </c>
      <c r="O122" s="44"/>
      <c r="P122" s="47">
        <f>-(P120+P121+P56)</f>
        <v>-720.9910427</v>
      </c>
      <c r="Q122" s="1"/>
      <c r="R122" s="1"/>
      <c r="S122" s="1"/>
    </row>
    <row r="123">
      <c r="A123" s="1"/>
      <c r="B123" s="61" t="s">
        <v>114</v>
      </c>
      <c r="C123" s="1"/>
      <c r="D123" s="1"/>
      <c r="E123" s="1"/>
      <c r="F123" s="47">
        <f>F122+F106</f>
        <v>-50.13562</v>
      </c>
      <c r="G123" s="44"/>
      <c r="H123" s="47">
        <f>H106-H120-H121</f>
        <v>-18.63164634</v>
      </c>
      <c r="I123" s="44"/>
      <c r="J123" s="47">
        <f>J106-J120-J121</f>
        <v>28.02941327</v>
      </c>
      <c r="K123" s="44"/>
      <c r="L123" s="47">
        <f>L106-L120-L121</f>
        <v>77.9044377</v>
      </c>
      <c r="M123" s="44"/>
      <c r="N123" s="47">
        <f>N106-N120-N121</f>
        <v>131.1602519</v>
      </c>
      <c r="O123" s="44"/>
      <c r="P123" s="47">
        <f>P106-P120-P121</f>
        <v>187.9714404</v>
      </c>
      <c r="Q123" s="26"/>
      <c r="R123" s="1"/>
      <c r="S123" s="1"/>
    </row>
    <row r="124">
      <c r="A124" s="1"/>
      <c r="B124" s="58" t="s">
        <v>115</v>
      </c>
      <c r="C124" s="28"/>
      <c r="D124" s="28"/>
      <c r="E124" s="1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1"/>
      <c r="R124" s="1"/>
      <c r="S124" s="1"/>
    </row>
    <row r="125">
      <c r="A125" s="1"/>
      <c r="B125" s="45" t="s">
        <v>116</v>
      </c>
      <c r="C125" s="62"/>
      <c r="D125" s="62"/>
      <c r="E125" s="1"/>
      <c r="F125" s="46">
        <v>100.0</v>
      </c>
      <c r="G125" s="44"/>
      <c r="H125" s="47">
        <f>F127</f>
        <v>49.86438</v>
      </c>
      <c r="I125" s="44"/>
      <c r="J125" s="47">
        <f>H127</f>
        <v>31.23273366</v>
      </c>
      <c r="K125" s="44"/>
      <c r="L125" s="47">
        <f>J127</f>
        <v>59.26214693</v>
      </c>
      <c r="M125" s="44"/>
      <c r="N125" s="47">
        <f>L127</f>
        <v>137.1665846</v>
      </c>
      <c r="O125" s="44"/>
      <c r="P125" s="47">
        <f>N127</f>
        <v>268.3268365</v>
      </c>
      <c r="Q125" s="1"/>
      <c r="R125" s="1"/>
      <c r="S125" s="1"/>
    </row>
    <row r="126">
      <c r="A126" s="1"/>
      <c r="B126" s="45" t="s">
        <v>117</v>
      </c>
      <c r="C126" s="62"/>
      <c r="D126" s="62"/>
      <c r="E126" s="1"/>
      <c r="F126" s="47">
        <f>F123</f>
        <v>-50.13562</v>
      </c>
      <c r="G126" s="44"/>
      <c r="H126" s="47">
        <f>H123</f>
        <v>-18.63164634</v>
      </c>
      <c r="I126" s="44"/>
      <c r="J126" s="47">
        <f>J123</f>
        <v>28.02941327</v>
      </c>
      <c r="K126" s="44"/>
      <c r="L126" s="47">
        <f>L123</f>
        <v>77.9044377</v>
      </c>
      <c r="M126" s="44"/>
      <c r="N126" s="47">
        <f>N123</f>
        <v>131.1602519</v>
      </c>
      <c r="O126" s="44"/>
      <c r="P126" s="47">
        <f>P123</f>
        <v>187.9714404</v>
      </c>
      <c r="Q126" s="1"/>
      <c r="R126" s="1"/>
      <c r="S126" s="1"/>
    </row>
    <row r="127">
      <c r="A127" s="1"/>
      <c r="B127" s="45" t="s">
        <v>118</v>
      </c>
      <c r="C127" s="62"/>
      <c r="D127" s="62"/>
      <c r="E127" s="1"/>
      <c r="F127" s="47">
        <f>F126+F125</f>
        <v>49.86438</v>
      </c>
      <c r="G127" s="44"/>
      <c r="H127" s="47">
        <f>H125+H126</f>
        <v>31.23273366</v>
      </c>
      <c r="I127" s="44"/>
      <c r="J127" s="47">
        <f>J125+J126</f>
        <v>59.26214693</v>
      </c>
      <c r="K127" s="44"/>
      <c r="L127" s="47">
        <f>L125+L126</f>
        <v>137.1665846</v>
      </c>
      <c r="M127" s="44"/>
      <c r="N127" s="47">
        <f>N125+N126</f>
        <v>268.3268365</v>
      </c>
      <c r="O127" s="44"/>
      <c r="P127" s="47">
        <f>P125+P126</f>
        <v>456.298277</v>
      </c>
      <c r="Q127" s="1"/>
      <c r="R127" s="1"/>
      <c r="S127" s="1"/>
    </row>
    <row r="128">
      <c r="A128" s="1"/>
      <c r="B128" s="45"/>
      <c r="C128" s="1"/>
      <c r="D128" s="1"/>
      <c r="E128" s="1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1"/>
      <c r="R128" s="1"/>
      <c r="S128" s="1"/>
    </row>
    <row r="129">
      <c r="A129" s="8" t="s">
        <v>1</v>
      </c>
      <c r="B129" s="63" t="s">
        <v>119</v>
      </c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5"/>
      <c r="S129" s="1"/>
    </row>
    <row r="130">
      <c r="A130" s="1"/>
      <c r="B130" s="7" t="s">
        <v>120</v>
      </c>
      <c r="C130" s="1"/>
      <c r="D130" s="1"/>
      <c r="E130" s="1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1"/>
      <c r="R130" s="1"/>
      <c r="S130" s="1"/>
    </row>
    <row r="131" ht="15.75" customHeight="1">
      <c r="A131" s="1"/>
      <c r="B131" s="7" t="s">
        <v>3</v>
      </c>
      <c r="C131" s="1"/>
      <c r="D131" s="1"/>
      <c r="E131" s="1"/>
      <c r="F131" s="26"/>
      <c r="G131" s="66"/>
      <c r="H131" s="66"/>
      <c r="I131" s="66"/>
      <c r="J131" s="66"/>
      <c r="K131" s="66"/>
      <c r="L131" s="66"/>
      <c r="M131" s="26"/>
      <c r="N131" s="26"/>
      <c r="O131" s="26"/>
      <c r="P131" s="26"/>
      <c r="Q131" s="1"/>
      <c r="R131" s="1"/>
      <c r="S131" s="1"/>
    </row>
    <row r="132">
      <c r="A132" s="1"/>
      <c r="B132" s="1"/>
      <c r="C132" s="1"/>
      <c r="D132" s="1"/>
      <c r="E132" s="1"/>
      <c r="F132" s="42" t="s">
        <v>60</v>
      </c>
      <c r="G132" s="66"/>
      <c r="H132" s="67"/>
      <c r="I132" s="67"/>
      <c r="J132" s="67"/>
      <c r="K132" s="68" t="s">
        <v>121</v>
      </c>
      <c r="L132" s="66"/>
      <c r="M132" s="69"/>
      <c r="N132" s="70" t="s">
        <v>5</v>
      </c>
      <c r="O132" s="71" t="s">
        <v>6</v>
      </c>
      <c r="P132" s="71" t="s">
        <v>7</v>
      </c>
      <c r="Q132" s="37"/>
      <c r="R132" s="1"/>
      <c r="S132" s="1"/>
    </row>
    <row r="133">
      <c r="A133" s="1"/>
      <c r="B133" s="45" t="s">
        <v>122</v>
      </c>
      <c r="C133" s="1"/>
      <c r="D133" s="1"/>
      <c r="E133" s="1"/>
      <c r="F133" s="46">
        <f>P40</f>
        <v>843.6770053</v>
      </c>
      <c r="G133" s="66"/>
      <c r="H133" s="2"/>
      <c r="I133" s="22" t="s">
        <v>123</v>
      </c>
      <c r="J133" s="66"/>
      <c r="K133" s="72">
        <f>I29</f>
        <v>2779.3</v>
      </c>
      <c r="L133" s="66"/>
      <c r="M133" s="73" t="s">
        <v>124</v>
      </c>
      <c r="N133" s="74" t="s">
        <v>125</v>
      </c>
      <c r="O133" s="75">
        <f t="shared" ref="O133:O134" si="22">F138</f>
        <v>1.872833816</v>
      </c>
      <c r="P133" s="74" t="s">
        <v>126</v>
      </c>
      <c r="Q133" s="1"/>
      <c r="R133" s="1"/>
      <c r="S133" s="1"/>
    </row>
    <row r="134">
      <c r="A134" s="1"/>
      <c r="B134" s="45" t="s">
        <v>127</v>
      </c>
      <c r="C134" s="1"/>
      <c r="D134" s="1"/>
      <c r="E134" s="1"/>
      <c r="F134" s="46">
        <f>F133*10.3</f>
        <v>8689.873155</v>
      </c>
      <c r="G134" s="66"/>
      <c r="H134" s="2"/>
      <c r="I134" s="22" t="s">
        <v>128</v>
      </c>
      <c r="J134" s="66"/>
      <c r="K134" s="72">
        <f>(F133-E19)*10.3</f>
        <v>1537.553155</v>
      </c>
      <c r="L134" s="66"/>
      <c r="M134" s="76" t="s">
        <v>129</v>
      </c>
      <c r="N134" s="77">
        <v>0.002</v>
      </c>
      <c r="O134" s="78">
        <f t="shared" si="22"/>
        <v>0.1337044426</v>
      </c>
      <c r="P134" s="77">
        <v>0.157</v>
      </c>
      <c r="Q134" s="1"/>
      <c r="R134" s="1"/>
      <c r="S134" s="1"/>
    </row>
    <row r="135">
      <c r="A135" s="1"/>
      <c r="B135" s="45" t="s">
        <v>130</v>
      </c>
      <c r="C135" s="1"/>
      <c r="D135" s="1"/>
      <c r="E135" s="1"/>
      <c r="F135" s="46">
        <f>P70-P127</f>
        <v>3484.70613</v>
      </c>
      <c r="G135" s="66"/>
      <c r="H135" s="2"/>
      <c r="I135" s="22" t="s">
        <v>131</v>
      </c>
      <c r="J135" s="66"/>
      <c r="K135" s="79">
        <v>0.0</v>
      </c>
      <c r="L135" s="66"/>
      <c r="M135" s="26"/>
      <c r="N135" s="45"/>
      <c r="O135" s="26"/>
      <c r="P135" s="26"/>
      <c r="Q135" s="1"/>
      <c r="R135" s="1"/>
      <c r="S135" s="1"/>
    </row>
    <row r="136">
      <c r="A136" s="1"/>
      <c r="B136" s="45" t="s">
        <v>132</v>
      </c>
      <c r="C136" s="1"/>
      <c r="D136" s="1"/>
      <c r="E136" s="1"/>
      <c r="F136" s="46">
        <f>F134-F135</f>
        <v>5205.167025</v>
      </c>
      <c r="G136" s="66"/>
      <c r="H136" s="2"/>
      <c r="I136" s="22" t="s">
        <v>133</v>
      </c>
      <c r="J136" s="66"/>
      <c r="K136" s="72">
        <f>F70-F135</f>
        <v>2457.29387</v>
      </c>
      <c r="L136" s="66"/>
      <c r="M136" s="26"/>
      <c r="N136" s="45"/>
      <c r="O136" s="26"/>
      <c r="P136" s="26"/>
      <c r="Q136" s="1"/>
      <c r="R136" s="1"/>
      <c r="S136" s="1"/>
    </row>
    <row r="137">
      <c r="A137" s="1"/>
      <c r="B137" s="45" t="s">
        <v>123</v>
      </c>
      <c r="C137" s="1"/>
      <c r="D137" s="1"/>
      <c r="E137" s="1"/>
      <c r="F137" s="47">
        <f>I29</f>
        <v>2779.3</v>
      </c>
      <c r="G137" s="66"/>
      <c r="H137" s="2"/>
      <c r="I137" s="22" t="s">
        <v>134</v>
      </c>
      <c r="J137" s="66"/>
      <c r="K137" s="72">
        <f>E29+E30</f>
        <v>252.2</v>
      </c>
      <c r="L137" s="66"/>
      <c r="M137" s="26"/>
      <c r="N137" s="45"/>
      <c r="O137" s="26"/>
      <c r="P137" s="26"/>
      <c r="Q137" s="1"/>
      <c r="R137" s="1"/>
      <c r="S137" s="1"/>
    </row>
    <row r="138">
      <c r="A138" s="1"/>
      <c r="B138" s="45" t="s">
        <v>124</v>
      </c>
      <c r="C138" s="1"/>
      <c r="D138" s="1"/>
      <c r="E138" s="1"/>
      <c r="F138" s="80">
        <f>F136/F137</f>
        <v>1.872833816</v>
      </c>
      <c r="G138" s="66"/>
      <c r="H138" s="2"/>
      <c r="I138" s="22" t="s">
        <v>135</v>
      </c>
      <c r="J138" s="66"/>
      <c r="K138" s="72">
        <f>F134-F135</f>
        <v>5205.167025</v>
      </c>
      <c r="L138" s="66"/>
      <c r="M138" s="26"/>
      <c r="N138" s="26"/>
      <c r="O138" s="26"/>
      <c r="P138" s="26"/>
      <c r="Q138" s="1"/>
      <c r="R138" s="1"/>
      <c r="S138" s="1"/>
    </row>
    <row r="139">
      <c r="A139" s="1"/>
      <c r="B139" s="45" t="s">
        <v>129</v>
      </c>
      <c r="C139" s="1"/>
      <c r="D139" s="1"/>
      <c r="E139" s="1"/>
      <c r="F139" s="49">
        <f t="array" ref="F139">IRR({-F137,0,0,0,0,F136})</f>
        <v>0.1337044426</v>
      </c>
      <c r="G139" s="66"/>
      <c r="H139" s="66"/>
      <c r="I139" s="66"/>
      <c r="J139" s="66"/>
      <c r="K139" s="66"/>
      <c r="L139" s="66"/>
      <c r="M139" s="26"/>
      <c r="N139" s="26"/>
      <c r="O139" s="26"/>
      <c r="P139" s="26"/>
      <c r="Q139" s="1"/>
      <c r="R139" s="1"/>
      <c r="S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>
      <c r="A141" s="8" t="s">
        <v>1</v>
      </c>
      <c r="B141" s="81" t="s">
        <v>136</v>
      </c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3"/>
      <c r="S141" s="1"/>
    </row>
    <row r="142" ht="11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>
      <c r="A143" s="1"/>
      <c r="B143" s="84" t="s">
        <v>137</v>
      </c>
      <c r="C143" s="5"/>
      <c r="D143" s="5"/>
      <c r="E143" s="5"/>
      <c r="F143" s="5"/>
      <c r="G143" s="5"/>
      <c r="H143" s="6"/>
      <c r="I143" s="85"/>
      <c r="J143" s="84" t="s">
        <v>138</v>
      </c>
      <c r="K143" s="5"/>
      <c r="L143" s="5"/>
      <c r="M143" s="5"/>
      <c r="N143" s="5"/>
      <c r="O143" s="6"/>
      <c r="P143" s="86"/>
      <c r="Q143" s="1"/>
      <c r="R143" s="1"/>
      <c r="S143" s="1"/>
    </row>
    <row r="144">
      <c r="A144" s="1"/>
      <c r="B144" s="87"/>
      <c r="C144" s="88"/>
      <c r="D144" s="88" t="s">
        <v>139</v>
      </c>
      <c r="E144" s="88" t="s">
        <v>16</v>
      </c>
      <c r="F144" s="88" t="s">
        <v>140</v>
      </c>
      <c r="G144" s="88" t="s">
        <v>17</v>
      </c>
      <c r="H144" s="88" t="s">
        <v>141</v>
      </c>
      <c r="I144" s="89"/>
      <c r="J144" s="90"/>
      <c r="K144" s="91" t="s">
        <v>139</v>
      </c>
      <c r="L144" s="91" t="s">
        <v>16</v>
      </c>
      <c r="M144" s="91" t="s">
        <v>140</v>
      </c>
      <c r="N144" s="91" t="s">
        <v>17</v>
      </c>
      <c r="O144" s="91" t="s">
        <v>141</v>
      </c>
      <c r="P144" s="92"/>
      <c r="Q144" s="1"/>
      <c r="R144" s="1"/>
      <c r="S144" s="1"/>
    </row>
    <row r="145">
      <c r="A145" s="1"/>
      <c r="B145" s="93" t="s">
        <v>17</v>
      </c>
      <c r="C145" s="94"/>
      <c r="D145" s="94">
        <v>-0.03</v>
      </c>
      <c r="E145" s="94">
        <f t="array" ref="E145">IRR({-F137,0,0,0,0,F133*8-F135})</f>
        <v>0.03271820774</v>
      </c>
      <c r="F145" s="94">
        <f t="array" ref="F145">IRR({-F137,0,0,0,0,F133*9-F135})</f>
        <v>0.08130243763</v>
      </c>
      <c r="G145" s="94">
        <f t="array" ref="G145">IRR({-F137,0,0,0,0,F133*10.3-F135})</f>
        <v>0.1337044426</v>
      </c>
      <c r="H145" s="94">
        <f t="array" ref="H145">IRR({-F137,0,0,0,0,F133*11-F135})</f>
        <v>0.1583364089</v>
      </c>
      <c r="I145" s="95"/>
      <c r="J145" s="96">
        <v>0.02</v>
      </c>
      <c r="K145" s="97">
        <v>-0.09</v>
      </c>
      <c r="L145" s="94">
        <v>-0.03</v>
      </c>
      <c r="M145" s="94">
        <v>0.02</v>
      </c>
      <c r="N145" s="94">
        <v>0.07</v>
      </c>
      <c r="O145" s="94">
        <v>0.093</v>
      </c>
      <c r="P145" s="98"/>
      <c r="Q145" s="1"/>
      <c r="R145" s="1"/>
      <c r="S145" s="1"/>
    </row>
    <row r="146">
      <c r="A146" s="2"/>
      <c r="B146" s="85"/>
      <c r="C146" s="89"/>
      <c r="D146" s="89"/>
      <c r="E146" s="89"/>
      <c r="F146" s="89"/>
      <c r="G146" s="89"/>
      <c r="H146" s="89"/>
      <c r="I146" s="95"/>
      <c r="J146" s="96">
        <v>0.03</v>
      </c>
      <c r="K146" s="97">
        <v>-0.06</v>
      </c>
      <c r="L146" s="94">
        <v>0.0</v>
      </c>
      <c r="M146" s="94">
        <v>0.04</v>
      </c>
      <c r="N146" s="94">
        <v>0.091</v>
      </c>
      <c r="O146" s="94">
        <v>0.115</v>
      </c>
      <c r="P146" s="98"/>
      <c r="Q146" s="1"/>
      <c r="R146" s="1"/>
      <c r="S146" s="1"/>
    </row>
    <row r="147">
      <c r="A147" s="2"/>
      <c r="B147" s="85"/>
      <c r="C147" s="89"/>
      <c r="D147" s="89"/>
      <c r="E147" s="89"/>
      <c r="F147" s="89"/>
      <c r="G147" s="89"/>
      <c r="H147" s="89"/>
      <c r="I147" s="95"/>
      <c r="J147" s="96">
        <v>0.04</v>
      </c>
      <c r="K147" s="97">
        <v>-0.03</v>
      </c>
      <c r="L147" s="94">
        <v>0.02</v>
      </c>
      <c r="M147" s="94">
        <v>0.06</v>
      </c>
      <c r="N147" s="94">
        <v>0.112</v>
      </c>
      <c r="O147" s="94">
        <v>0.135</v>
      </c>
      <c r="P147" s="98"/>
      <c r="Q147" s="1"/>
      <c r="R147" s="1"/>
      <c r="S147" s="1"/>
    </row>
    <row r="148">
      <c r="A148" s="2"/>
      <c r="B148" s="85"/>
      <c r="C148" s="89"/>
      <c r="D148" s="89"/>
      <c r="E148" s="89"/>
      <c r="F148" s="89"/>
      <c r="G148" s="89"/>
      <c r="H148" s="89"/>
      <c r="I148" s="95"/>
      <c r="J148" s="96">
        <v>0.05</v>
      </c>
      <c r="K148" s="97">
        <v>-0.01</v>
      </c>
      <c r="L148" s="94">
        <v>0.04</v>
      </c>
      <c r="M148" s="94">
        <v>0.09</v>
      </c>
      <c r="N148" s="94">
        <v>0.132</v>
      </c>
      <c r="O148" s="99">
        <v>0.155</v>
      </c>
      <c r="P148" s="98"/>
      <c r="Q148" s="1"/>
      <c r="R148" s="1"/>
      <c r="S148" s="1"/>
    </row>
    <row r="149">
      <c r="A149" s="2"/>
      <c r="B149" s="85"/>
      <c r="C149" s="89"/>
      <c r="D149" s="89"/>
      <c r="E149" s="89"/>
      <c r="F149" s="89"/>
      <c r="G149" s="89"/>
      <c r="H149" s="89"/>
      <c r="I149" s="95"/>
      <c r="J149" s="96">
        <v>0.07</v>
      </c>
      <c r="K149" s="97">
        <v>0.04</v>
      </c>
      <c r="L149" s="94">
        <v>0.09</v>
      </c>
      <c r="M149" s="94">
        <v>0.13</v>
      </c>
      <c r="N149" s="99">
        <v>0.171</v>
      </c>
      <c r="O149" s="99">
        <v>0.192</v>
      </c>
      <c r="P149" s="98"/>
      <c r="Q149" s="1"/>
      <c r="R149" s="1"/>
      <c r="S149" s="1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>
      <c r="A151" s="8" t="s">
        <v>1</v>
      </c>
      <c r="B151" s="100" t="s">
        <v>142</v>
      </c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2"/>
      <c r="S151" s="1"/>
    </row>
    <row r="152" ht="11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>
      <c r="A153" s="1"/>
      <c r="B153" s="45" t="s">
        <v>143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>
      <c r="A154" s="1"/>
      <c r="B154" s="103" t="s">
        <v>144</v>
      </c>
      <c r="F154" s="45"/>
      <c r="G154" s="45"/>
      <c r="H154" s="45"/>
      <c r="I154" s="45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ht="11.25" customHeight="1">
      <c r="A155" s="1"/>
      <c r="B155" s="45"/>
      <c r="C155" s="45"/>
      <c r="D155" s="45"/>
      <c r="E155" s="45"/>
      <c r="F155" s="45"/>
      <c r="G155" s="45"/>
      <c r="H155" s="45"/>
      <c r="I155" s="45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>
      <c r="A156" s="1"/>
      <c r="B156" s="1"/>
      <c r="C156" s="22"/>
      <c r="D156" s="22"/>
      <c r="G156" s="2"/>
      <c r="H156" s="22"/>
      <c r="K156" s="1"/>
      <c r="L156" s="104"/>
      <c r="M156" s="104"/>
      <c r="N156" s="104"/>
      <c r="O156" s="104"/>
      <c r="P156" s="104"/>
      <c r="Q156" s="104"/>
      <c r="R156" s="1"/>
      <c r="S156" s="1"/>
    </row>
    <row r="157">
      <c r="A157" s="1"/>
      <c r="B157" s="84" t="s">
        <v>145</v>
      </c>
      <c r="C157" s="5"/>
      <c r="D157" s="5"/>
      <c r="E157" s="6"/>
      <c r="F157" s="105"/>
      <c r="G157" s="84" t="s">
        <v>146</v>
      </c>
      <c r="H157" s="5"/>
      <c r="I157" s="6"/>
      <c r="J157" s="22"/>
      <c r="K157" s="106" t="s">
        <v>147</v>
      </c>
      <c r="L157" s="5"/>
      <c r="M157" s="5"/>
      <c r="N157" s="5"/>
      <c r="O157" s="6"/>
      <c r="P157" s="17"/>
      <c r="Q157" s="104"/>
      <c r="R157" s="1"/>
      <c r="S157" s="1"/>
    </row>
    <row r="158">
      <c r="A158" s="1"/>
      <c r="B158" s="107" t="s">
        <v>148</v>
      </c>
      <c r="E158" s="108"/>
      <c r="F158" s="105"/>
      <c r="G158" s="107" t="s">
        <v>149</v>
      </c>
      <c r="I158" s="108"/>
      <c r="J158" s="22"/>
      <c r="K158" s="109" t="s">
        <v>150</v>
      </c>
      <c r="O158" s="108"/>
      <c r="P158" s="2"/>
      <c r="Q158" s="104"/>
      <c r="R158" s="1"/>
      <c r="S158" s="1"/>
    </row>
    <row r="159">
      <c r="A159" s="1"/>
      <c r="B159" s="110" t="s">
        <v>151</v>
      </c>
      <c r="E159" s="108"/>
      <c r="F159" s="105"/>
      <c r="G159" s="107" t="s">
        <v>152</v>
      </c>
      <c r="I159" s="108"/>
      <c r="J159" s="22"/>
      <c r="K159" s="109" t="s">
        <v>153</v>
      </c>
      <c r="O159" s="108"/>
      <c r="P159" s="111"/>
      <c r="Q159" s="104"/>
      <c r="R159" s="1"/>
      <c r="S159" s="1"/>
    </row>
    <row r="160">
      <c r="A160" s="1"/>
      <c r="B160" s="110" t="s">
        <v>154</v>
      </c>
      <c r="E160" s="108"/>
      <c r="F160" s="105"/>
      <c r="G160" s="107" t="s">
        <v>155</v>
      </c>
      <c r="I160" s="108"/>
      <c r="J160" s="22"/>
      <c r="K160" s="109" t="s">
        <v>156</v>
      </c>
      <c r="O160" s="108"/>
      <c r="P160" s="111"/>
      <c r="Q160" s="104"/>
      <c r="R160" s="1"/>
      <c r="S160" s="1"/>
    </row>
    <row r="161">
      <c r="A161" s="1"/>
      <c r="B161" s="107" t="s">
        <v>157</v>
      </c>
      <c r="E161" s="108"/>
      <c r="F161" s="105"/>
      <c r="G161" s="107" t="s">
        <v>158</v>
      </c>
      <c r="I161" s="108"/>
      <c r="J161" s="2"/>
      <c r="K161" s="109" t="s">
        <v>159</v>
      </c>
      <c r="O161" s="108"/>
      <c r="P161" s="111"/>
      <c r="Q161" s="104"/>
      <c r="R161" s="1"/>
      <c r="S161" s="1"/>
    </row>
    <row r="162">
      <c r="A162" s="1"/>
      <c r="B162" s="107" t="s">
        <v>160</v>
      </c>
      <c r="E162" s="108"/>
      <c r="F162" s="112"/>
      <c r="G162" s="113" t="s">
        <v>161</v>
      </c>
      <c r="H162" s="114"/>
      <c r="I162" s="115"/>
      <c r="J162" s="1"/>
      <c r="K162" s="109" t="s">
        <v>162</v>
      </c>
      <c r="O162" s="108"/>
      <c r="P162" s="111"/>
      <c r="Q162" s="104"/>
      <c r="R162" s="1"/>
      <c r="S162" s="1"/>
    </row>
    <row r="163">
      <c r="A163" s="1"/>
      <c r="B163" s="116"/>
      <c r="C163" s="117"/>
      <c r="D163" s="117"/>
      <c r="E163" s="117"/>
      <c r="F163" s="112"/>
      <c r="G163" s="112"/>
      <c r="H163" s="112"/>
      <c r="I163" s="112"/>
      <c r="J163" s="1"/>
      <c r="K163" s="118" t="s">
        <v>163</v>
      </c>
      <c r="L163" s="111"/>
      <c r="M163" s="111"/>
      <c r="N163" s="111"/>
      <c r="O163" s="119"/>
      <c r="P163" s="111"/>
      <c r="Q163" s="104"/>
      <c r="R163" s="1"/>
      <c r="S163" s="1"/>
    </row>
    <row r="164">
      <c r="A164" s="1"/>
      <c r="B164" s="1"/>
      <c r="C164" s="120"/>
      <c r="D164" s="120"/>
      <c r="E164" s="120"/>
      <c r="F164" s="120"/>
      <c r="G164" s="120"/>
      <c r="H164" s="120"/>
      <c r="I164" s="120"/>
      <c r="J164" s="120"/>
      <c r="K164" s="121" t="s">
        <v>164</v>
      </c>
      <c r="L164" s="122"/>
      <c r="M164" s="122"/>
      <c r="N164" s="122"/>
      <c r="O164" s="123"/>
      <c r="P164" s="120"/>
      <c r="Q164" s="120"/>
      <c r="R164" s="1"/>
      <c r="S164" s="1"/>
    </row>
    <row r="165">
      <c r="A165" s="1"/>
      <c r="B165" s="1"/>
      <c r="C165" s="120"/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"/>
      <c r="S165" s="1"/>
    </row>
    <row r="166">
      <c r="A166" s="1"/>
      <c r="B166" s="1"/>
      <c r="C166" s="120"/>
      <c r="D166" s="120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"/>
      <c r="S166" s="1"/>
    </row>
    <row r="167">
      <c r="A167" s="1"/>
      <c r="B167" s="124" t="s">
        <v>165</v>
      </c>
      <c r="I167" s="120"/>
      <c r="J167" s="120"/>
      <c r="K167" s="18" t="s">
        <v>166</v>
      </c>
      <c r="L167" s="5"/>
      <c r="M167" s="5"/>
      <c r="N167" s="6"/>
      <c r="O167" s="124"/>
      <c r="P167" s="124"/>
      <c r="Q167" s="124"/>
      <c r="R167" s="124"/>
      <c r="S167" s="1"/>
    </row>
    <row r="168">
      <c r="A168" s="1"/>
      <c r="B168" s="125" t="s">
        <v>167</v>
      </c>
      <c r="C168" s="126"/>
      <c r="D168" s="126"/>
      <c r="E168" s="126"/>
      <c r="F168" s="126"/>
      <c r="G168" s="126"/>
      <c r="H168" s="126"/>
      <c r="I168" s="126"/>
      <c r="J168" s="17"/>
      <c r="K168" s="127" t="s">
        <v>29</v>
      </c>
      <c r="L168" s="128"/>
      <c r="M168" s="128" t="str">
        <f t="shared" ref="M168:M169" si="23">R12</f>
        <v/>
      </c>
      <c r="N168" s="129">
        <v>0.04</v>
      </c>
      <c r="O168" s="130"/>
      <c r="P168" s="131"/>
      <c r="Q168" s="131"/>
      <c r="R168" s="131"/>
      <c r="S168" s="132"/>
    </row>
    <row r="169">
      <c r="A169" s="1"/>
      <c r="B169" s="125" t="s">
        <v>168</v>
      </c>
      <c r="C169" s="126"/>
      <c r="D169" s="126"/>
      <c r="E169" s="126"/>
      <c r="F169" s="126"/>
      <c r="G169" s="126"/>
      <c r="H169" s="126"/>
      <c r="I169" s="126"/>
      <c r="J169" s="133"/>
      <c r="K169" s="127" t="s">
        <v>35</v>
      </c>
      <c r="L169" s="128"/>
      <c r="M169" s="134" t="str">
        <f t="shared" si="23"/>
        <v/>
      </c>
      <c r="N169" s="129">
        <v>0.07</v>
      </c>
      <c r="O169" s="135"/>
      <c r="P169" s="131"/>
      <c r="Q169" s="131"/>
      <c r="R169" s="131"/>
      <c r="S169" s="132"/>
    </row>
    <row r="170">
      <c r="A170" s="1"/>
      <c r="B170" s="125" t="s">
        <v>169</v>
      </c>
      <c r="C170" s="126"/>
      <c r="D170" s="126"/>
      <c r="E170" s="126"/>
      <c r="F170" s="126"/>
      <c r="G170" s="126"/>
      <c r="H170" s="126"/>
      <c r="I170" s="126"/>
      <c r="J170" s="133"/>
      <c r="K170" s="127" t="s">
        <v>40</v>
      </c>
      <c r="L170" s="128"/>
      <c r="M170" s="134" t="str">
        <f>R18</f>
        <v/>
      </c>
      <c r="N170" s="129">
        <v>0.1</v>
      </c>
      <c r="O170" s="136"/>
      <c r="P170" s="136"/>
      <c r="Q170" s="136"/>
      <c r="R170" s="136"/>
      <c r="S170" s="132"/>
    </row>
    <row r="171">
      <c r="A171" s="1"/>
      <c r="B171" s="125" t="s">
        <v>170</v>
      </c>
      <c r="C171" s="126"/>
      <c r="D171" s="126"/>
      <c r="E171" s="126"/>
      <c r="F171" s="126"/>
      <c r="G171" s="126"/>
      <c r="H171" s="126"/>
      <c r="I171" s="126"/>
      <c r="J171" s="133"/>
      <c r="K171" s="127" t="s">
        <v>47</v>
      </c>
      <c r="L171" s="128"/>
      <c r="M171" s="134" t="str">
        <f>R14</f>
        <v/>
      </c>
      <c r="N171" s="24" t="s">
        <v>104</v>
      </c>
      <c r="O171" s="136"/>
      <c r="P171" s="136"/>
      <c r="Q171" s="136"/>
      <c r="R171" s="136"/>
      <c r="S171" s="132"/>
    </row>
    <row r="172" ht="15.75" customHeight="1">
      <c r="A172" s="1"/>
      <c r="B172" s="125"/>
      <c r="C172" s="126"/>
      <c r="D172" s="126"/>
      <c r="E172" s="126"/>
      <c r="F172" s="126"/>
      <c r="G172" s="126"/>
      <c r="H172" s="126"/>
      <c r="I172" s="126"/>
      <c r="J172" s="133"/>
      <c r="K172" s="127" t="s">
        <v>171</v>
      </c>
      <c r="L172" s="137"/>
      <c r="M172" s="138">
        <f>M168+M169+M170+M171</f>
        <v>0</v>
      </c>
      <c r="N172" s="128"/>
      <c r="O172" s="136"/>
      <c r="P172" s="136"/>
      <c r="Q172" s="136"/>
      <c r="R172" s="136"/>
      <c r="S172" s="132"/>
    </row>
    <row r="173">
      <c r="A173" s="1"/>
      <c r="B173" s="125" t="s">
        <v>172</v>
      </c>
      <c r="C173" s="126"/>
      <c r="D173" s="126"/>
      <c r="E173" s="126"/>
      <c r="F173" s="126"/>
      <c r="G173" s="126"/>
      <c r="H173" s="126"/>
      <c r="I173" s="126"/>
      <c r="J173" s="133"/>
      <c r="K173" s="139"/>
      <c r="L173" s="139"/>
      <c r="M173" s="140"/>
      <c r="N173" s="140"/>
      <c r="O173" s="136"/>
      <c r="P173" s="136"/>
      <c r="Q173" s="136"/>
      <c r="R173" s="136"/>
      <c r="S173" s="132"/>
    </row>
    <row r="174">
      <c r="A174" s="1"/>
      <c r="B174" s="125" t="s">
        <v>173</v>
      </c>
      <c r="C174" s="126"/>
      <c r="D174" s="126"/>
      <c r="E174" s="126"/>
      <c r="F174" s="126"/>
      <c r="G174" s="126"/>
      <c r="H174" s="126"/>
      <c r="I174" s="126"/>
      <c r="J174" s="141"/>
      <c r="K174" s="142" t="s">
        <v>174</v>
      </c>
      <c r="L174" s="105"/>
      <c r="M174" s="105"/>
      <c r="N174" s="105"/>
      <c r="O174" s="143"/>
      <c r="P174" s="143"/>
      <c r="Q174" s="143"/>
      <c r="R174" s="144"/>
      <c r="S174" s="132"/>
    </row>
    <row r="175">
      <c r="A175" s="1"/>
      <c r="B175" s="145" t="s">
        <v>175</v>
      </c>
      <c r="C175" s="146"/>
      <c r="D175" s="146"/>
      <c r="E175" s="146"/>
      <c r="F175" s="146"/>
      <c r="G175" s="146"/>
      <c r="H175" s="146"/>
      <c r="I175" s="146"/>
      <c r="J175" s="147"/>
      <c r="K175" s="142" t="s">
        <v>176</v>
      </c>
      <c r="L175" s="105"/>
      <c r="M175" s="105"/>
      <c r="N175" s="105"/>
      <c r="O175" s="148"/>
      <c r="P175" s="148"/>
      <c r="Q175" s="148"/>
      <c r="R175" s="149"/>
      <c r="S175" s="1"/>
    </row>
    <row r="176" ht="15.75" customHeight="1">
      <c r="A176" s="1"/>
      <c r="B176" s="145"/>
      <c r="C176" s="146"/>
      <c r="D176" s="146"/>
      <c r="E176" s="146"/>
      <c r="F176" s="146"/>
      <c r="G176" s="146"/>
      <c r="H176" s="146"/>
      <c r="I176" s="146"/>
      <c r="J176" s="147"/>
      <c r="K176" s="142" t="s">
        <v>177</v>
      </c>
      <c r="L176" s="105"/>
      <c r="M176" s="105"/>
      <c r="N176" s="105"/>
      <c r="O176" s="148"/>
      <c r="P176" s="148"/>
      <c r="Q176" s="148"/>
      <c r="R176" s="149"/>
      <c r="S176" s="1"/>
    </row>
    <row r="177">
      <c r="A177" s="1"/>
      <c r="B177" s="145" t="s">
        <v>178</v>
      </c>
      <c r="C177" s="146"/>
      <c r="D177" s="146"/>
      <c r="E177" s="146"/>
      <c r="F177" s="146"/>
      <c r="G177" s="146"/>
      <c r="H177" s="146"/>
      <c r="I177" s="146"/>
      <c r="J177" s="147"/>
      <c r="K177" s="150" t="s">
        <v>179</v>
      </c>
      <c r="L177" s="105"/>
      <c r="M177" s="105"/>
      <c r="N177" s="105"/>
      <c r="O177" s="148"/>
      <c r="P177" s="148"/>
      <c r="Q177" s="148"/>
      <c r="R177" s="149"/>
      <c r="S177" s="1"/>
    </row>
    <row r="178">
      <c r="A178" s="1"/>
      <c r="B178" s="145" t="s">
        <v>180</v>
      </c>
      <c r="C178" s="146"/>
      <c r="D178" s="146"/>
      <c r="E178" s="146"/>
      <c r="F178" s="146"/>
      <c r="G178" s="146"/>
      <c r="H178" s="146"/>
      <c r="I178" s="146"/>
      <c r="J178" s="147"/>
      <c r="K178" s="85"/>
      <c r="L178" s="85"/>
      <c r="M178" s="85"/>
      <c r="N178" s="148"/>
      <c r="O178" s="148"/>
      <c r="P178" s="148"/>
      <c r="Q178" s="148"/>
      <c r="R178" s="149"/>
      <c r="S178" s="1"/>
    </row>
    <row r="179">
      <c r="A179" s="1"/>
      <c r="B179" s="145" t="s">
        <v>181</v>
      </c>
      <c r="C179" s="146"/>
      <c r="D179" s="146"/>
      <c r="E179" s="146"/>
      <c r="F179" s="146"/>
      <c r="G179" s="146"/>
      <c r="H179" s="146"/>
      <c r="I179" s="146"/>
      <c r="J179" s="146"/>
      <c r="K179" s="148"/>
      <c r="L179" s="148"/>
      <c r="M179" s="148"/>
      <c r="N179" s="148"/>
      <c r="O179" s="148"/>
      <c r="P179" s="148"/>
      <c r="Q179" s="148"/>
      <c r="R179" s="149"/>
      <c r="S179" s="1"/>
    </row>
    <row r="180">
      <c r="A180" s="1"/>
      <c r="B180" s="145" t="s">
        <v>182</v>
      </c>
      <c r="C180" s="146"/>
      <c r="D180" s="146"/>
      <c r="E180" s="146"/>
      <c r="F180" s="146"/>
      <c r="G180" s="146"/>
      <c r="H180" s="146"/>
      <c r="I180" s="146"/>
      <c r="J180" s="146"/>
      <c r="K180" s="148"/>
      <c r="L180" s="148"/>
      <c r="M180" s="148"/>
      <c r="N180" s="148"/>
      <c r="O180" s="148"/>
      <c r="P180" s="148"/>
      <c r="Q180" s="148"/>
      <c r="R180" s="149"/>
      <c r="S180" s="1"/>
    </row>
    <row r="181">
      <c r="A181" s="1"/>
      <c r="B181" s="1"/>
      <c r="C181" s="120"/>
      <c r="D181" s="120"/>
      <c r="E181" s="120"/>
      <c r="F181" s="131"/>
      <c r="G181" s="131"/>
      <c r="H181" s="131"/>
      <c r="I181" s="131"/>
      <c r="J181" s="67"/>
      <c r="K181" s="67"/>
      <c r="L181" s="67"/>
      <c r="M181" s="67"/>
      <c r="N181" s="67"/>
      <c r="O181" s="67"/>
      <c r="P181" s="120"/>
      <c r="Q181" s="120"/>
      <c r="R181" s="1"/>
      <c r="S181" s="1"/>
    </row>
    <row r="182">
      <c r="A182" s="151"/>
      <c r="B182" s="152" t="s">
        <v>183</v>
      </c>
      <c r="I182" s="152"/>
      <c r="J182" s="133"/>
      <c r="K182" s="153" t="s">
        <v>184</v>
      </c>
      <c r="L182" s="5"/>
      <c r="M182" s="5"/>
      <c r="N182" s="5"/>
      <c r="O182" s="5"/>
      <c r="P182" s="6"/>
      <c r="Q182" s="120"/>
    </row>
    <row r="183">
      <c r="A183" s="151"/>
      <c r="B183" s="105" t="s">
        <v>185</v>
      </c>
      <c r="C183" s="140"/>
      <c r="D183" s="140"/>
      <c r="E183" s="154"/>
      <c r="F183" s="140"/>
      <c r="G183" s="140"/>
      <c r="H183" s="140"/>
      <c r="I183" s="140"/>
      <c r="J183" s="133"/>
      <c r="K183" s="23" t="s">
        <v>186</v>
      </c>
      <c r="L183" s="5"/>
      <c r="M183" s="6"/>
      <c r="N183" s="129">
        <v>0.02</v>
      </c>
      <c r="O183" s="129">
        <v>0.04</v>
      </c>
      <c r="P183" s="129">
        <v>0.07</v>
      </c>
      <c r="Q183" s="120"/>
    </row>
    <row r="184">
      <c r="A184" s="151"/>
      <c r="B184" s="140" t="s">
        <v>187</v>
      </c>
      <c r="C184" s="140"/>
      <c r="D184" s="140"/>
      <c r="E184" s="154"/>
      <c r="F184" s="140"/>
      <c r="G184" s="140"/>
      <c r="H184" s="140"/>
      <c r="I184" s="140"/>
      <c r="J184" s="133"/>
      <c r="K184" s="23" t="s">
        <v>188</v>
      </c>
      <c r="L184" s="5"/>
      <c r="M184" s="6"/>
      <c r="N184" s="129">
        <v>0.295</v>
      </c>
      <c r="O184" s="129">
        <v>0.315</v>
      </c>
      <c r="P184" s="129">
        <v>0.33</v>
      </c>
      <c r="Q184" s="120"/>
    </row>
    <row r="185">
      <c r="A185" s="151"/>
      <c r="B185" s="140" t="s">
        <v>189</v>
      </c>
      <c r="C185" s="140"/>
      <c r="D185" s="140"/>
      <c r="E185" s="154"/>
      <c r="F185" s="140"/>
      <c r="G185" s="140"/>
      <c r="H185" s="140"/>
      <c r="I185" s="140"/>
      <c r="J185" s="133"/>
      <c r="K185" s="23" t="s">
        <v>15</v>
      </c>
      <c r="L185" s="5"/>
      <c r="M185" s="6"/>
      <c r="N185" s="129" t="s">
        <v>16</v>
      </c>
      <c r="O185" s="129" t="s">
        <v>17</v>
      </c>
      <c r="P185" s="129" t="s">
        <v>18</v>
      </c>
      <c r="Q185" s="120"/>
    </row>
    <row r="186">
      <c r="A186" s="151"/>
      <c r="B186" s="140"/>
      <c r="C186" s="140"/>
      <c r="D186" s="140"/>
      <c r="E186" s="140"/>
      <c r="F186" s="140"/>
      <c r="G186" s="140"/>
      <c r="H186" s="140"/>
      <c r="I186" s="140"/>
      <c r="J186" s="133"/>
      <c r="K186" s="23" t="s">
        <v>132</v>
      </c>
      <c r="L186" s="5"/>
      <c r="M186" s="6"/>
      <c r="N186" s="155" t="s">
        <v>104</v>
      </c>
      <c r="O186" s="156">
        <v>4748.9</v>
      </c>
      <c r="P186" s="155" t="s">
        <v>104</v>
      </c>
      <c r="Q186" s="120"/>
    </row>
    <row r="187">
      <c r="A187" s="151"/>
      <c r="B187" s="140"/>
      <c r="C187" s="139"/>
      <c r="D187" s="139"/>
      <c r="E187" s="140"/>
      <c r="F187" s="140"/>
      <c r="G187" s="140"/>
      <c r="H187" s="140"/>
      <c r="I187" s="140"/>
      <c r="J187" s="133"/>
      <c r="K187" s="23" t="s">
        <v>124</v>
      </c>
      <c r="L187" s="5"/>
      <c r="M187" s="6"/>
      <c r="N187" s="129" t="s">
        <v>125</v>
      </c>
      <c r="O187" s="129" t="s">
        <v>190</v>
      </c>
      <c r="P187" s="129" t="s">
        <v>126</v>
      </c>
      <c r="Q187" s="120"/>
    </row>
    <row r="188">
      <c r="A188" s="151"/>
      <c r="B188" s="157" t="s">
        <v>191</v>
      </c>
      <c r="C188" s="140"/>
      <c r="D188" s="140"/>
      <c r="E188" s="140"/>
      <c r="F188" s="140"/>
      <c r="G188" s="140"/>
      <c r="H188" s="140"/>
      <c r="I188" s="140"/>
      <c r="J188" s="158"/>
      <c r="K188" s="23" t="s">
        <v>129</v>
      </c>
      <c r="L188" s="5"/>
      <c r="M188" s="6"/>
      <c r="N188" s="129">
        <v>0.002</v>
      </c>
      <c r="O188" s="134" t="str">
        <f>O131</f>
        <v/>
      </c>
      <c r="P188" s="129">
        <v>0.157</v>
      </c>
      <c r="Q188" s="120"/>
    </row>
    <row r="189">
      <c r="B189" s="157" t="s">
        <v>192</v>
      </c>
      <c r="C189" s="140"/>
      <c r="D189" s="140"/>
      <c r="E189" s="140"/>
      <c r="F189" s="140"/>
      <c r="G189" s="140"/>
      <c r="H189" s="140"/>
      <c r="I189" s="140"/>
      <c r="J189" s="147"/>
      <c r="K189" s="85"/>
      <c r="L189" s="105"/>
      <c r="M189" s="105"/>
      <c r="N189" s="105"/>
      <c r="O189" s="105"/>
      <c r="P189" s="105"/>
      <c r="Q189" s="120"/>
    </row>
    <row r="190">
      <c r="B190" s="105" t="s">
        <v>193</v>
      </c>
      <c r="C190" s="105"/>
      <c r="D190" s="105"/>
      <c r="E190" s="105"/>
      <c r="F190" s="105"/>
      <c r="G190" s="105"/>
      <c r="H190" s="105"/>
      <c r="I190" s="105"/>
      <c r="J190" s="147"/>
      <c r="K190" s="142" t="s">
        <v>194</v>
      </c>
      <c r="L190" s="105"/>
      <c r="M190" s="105"/>
      <c r="N190" s="105"/>
      <c r="O190" s="105"/>
      <c r="P190" s="105"/>
      <c r="Q190" s="120"/>
    </row>
    <row r="191">
      <c r="B191" s="105"/>
      <c r="C191" s="105"/>
      <c r="D191" s="105"/>
      <c r="E191" s="159"/>
      <c r="F191" s="159"/>
      <c r="G191" s="159"/>
      <c r="H191" s="105"/>
      <c r="I191" s="105"/>
      <c r="J191" s="147"/>
      <c r="K191" s="142" t="s">
        <v>195</v>
      </c>
      <c r="L191" s="105"/>
      <c r="M191" s="105"/>
      <c r="N191" s="105"/>
      <c r="O191" s="105"/>
      <c r="P191" s="105"/>
      <c r="Q191" s="120"/>
    </row>
    <row r="192">
      <c r="B192" s="105" t="s">
        <v>196</v>
      </c>
      <c r="C192" s="105"/>
      <c r="D192" s="105"/>
      <c r="E192" s="159"/>
      <c r="F192" s="159"/>
      <c r="G192" s="159"/>
      <c r="H192" s="105"/>
      <c r="I192" s="105"/>
      <c r="J192" s="147"/>
      <c r="K192" s="142" t="s">
        <v>197</v>
      </c>
      <c r="L192" s="105"/>
      <c r="M192" s="105"/>
      <c r="N192" s="105"/>
      <c r="O192" s="105"/>
      <c r="P192" s="105"/>
      <c r="Q192" s="120"/>
    </row>
    <row r="193">
      <c r="B193" s="105" t="s">
        <v>198</v>
      </c>
      <c r="C193" s="105"/>
      <c r="D193" s="105"/>
      <c r="E193" s="159"/>
      <c r="F193" s="159"/>
      <c r="G193" s="159"/>
      <c r="H193" s="105"/>
      <c r="I193" s="105"/>
      <c r="J193" s="147"/>
      <c r="K193" s="142" t="s">
        <v>199</v>
      </c>
      <c r="L193" s="105"/>
      <c r="M193" s="105"/>
      <c r="N193" s="105"/>
      <c r="O193" s="105"/>
      <c r="P193" s="105"/>
      <c r="Q193" s="120"/>
    </row>
    <row r="194">
      <c r="B194" s="105" t="s">
        <v>200</v>
      </c>
      <c r="C194" s="105"/>
      <c r="D194" s="105"/>
      <c r="E194" s="159"/>
      <c r="F194" s="160"/>
      <c r="G194" s="159"/>
      <c r="H194" s="105"/>
      <c r="I194" s="105"/>
      <c r="J194" s="147"/>
      <c r="K194" s="142" t="s">
        <v>201</v>
      </c>
      <c r="L194" s="105"/>
      <c r="M194" s="105"/>
      <c r="N194" s="105"/>
      <c r="O194" s="105"/>
      <c r="P194" s="105"/>
      <c r="Q194" s="120"/>
    </row>
    <row r="195">
      <c r="B195" s="133"/>
      <c r="E195" s="161"/>
      <c r="F195" s="162"/>
      <c r="G195" s="161"/>
      <c r="H195" s="136"/>
      <c r="I195" s="136"/>
      <c r="J195" s="136"/>
      <c r="K195" s="142" t="s">
        <v>202</v>
      </c>
      <c r="L195" s="105"/>
      <c r="M195" s="105"/>
      <c r="N195" s="105"/>
      <c r="O195" s="105"/>
      <c r="P195" s="105"/>
      <c r="Q195" s="120"/>
    </row>
    <row r="196">
      <c r="B196" s="133"/>
      <c r="E196" s="161"/>
      <c r="F196" s="161"/>
      <c r="G196" s="161"/>
      <c r="H196" s="131"/>
      <c r="I196" s="131"/>
      <c r="J196" s="131"/>
      <c r="K196" s="131"/>
      <c r="L196" s="131"/>
      <c r="M196" s="131"/>
      <c r="N196" s="120"/>
      <c r="O196" s="120"/>
      <c r="P196" s="120"/>
      <c r="Q196" s="120"/>
    </row>
    <row r="197">
      <c r="B197" s="133"/>
      <c r="C197" s="133"/>
      <c r="D197" s="133"/>
      <c r="E197" s="163"/>
      <c r="F197" s="163"/>
      <c r="G197" s="163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</row>
    <row r="198">
      <c r="B198" s="133"/>
      <c r="C198" s="133"/>
      <c r="D198" s="133"/>
      <c r="E198" s="163"/>
      <c r="F198" s="163"/>
      <c r="G198" s="163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</row>
    <row r="199">
      <c r="B199" s="133"/>
      <c r="C199" s="133"/>
      <c r="D199" s="133"/>
      <c r="E199" s="163"/>
      <c r="F199" s="163"/>
      <c r="G199" s="163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</row>
    <row r="200">
      <c r="B200" s="133"/>
      <c r="C200" s="133"/>
      <c r="D200" s="133"/>
      <c r="E200" s="163"/>
      <c r="F200" s="163"/>
      <c r="G200" s="163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</row>
    <row r="201">
      <c r="B201" s="133"/>
      <c r="C201" s="133"/>
      <c r="D201" s="133"/>
      <c r="E201" s="163"/>
      <c r="F201" s="163"/>
      <c r="G201" s="163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</row>
    <row r="202">
      <c r="B202" s="133"/>
      <c r="C202" s="133"/>
      <c r="D202" s="133"/>
      <c r="E202" s="163"/>
      <c r="F202" s="163"/>
      <c r="G202" s="163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</row>
    <row r="203">
      <c r="B203" s="133"/>
      <c r="C203" s="133"/>
      <c r="D203" s="133"/>
      <c r="E203" s="163"/>
      <c r="F203" s="163"/>
      <c r="G203" s="163"/>
      <c r="H203" s="164"/>
      <c r="I203" s="164"/>
      <c r="J203" s="164"/>
      <c r="K203" s="164"/>
      <c r="L203" s="164"/>
      <c r="M203" s="120"/>
      <c r="N203" s="120"/>
      <c r="O203" s="120"/>
      <c r="P203" s="120"/>
      <c r="Q203" s="120"/>
    </row>
    <row r="204">
      <c r="C204" s="120"/>
      <c r="D204" s="120"/>
      <c r="E204" s="120"/>
      <c r="F204" s="120"/>
      <c r="G204" s="120"/>
      <c r="H204" s="164"/>
      <c r="I204" s="164"/>
      <c r="J204" s="165" t="s">
        <v>203</v>
      </c>
      <c r="K204" s="165"/>
      <c r="L204" s="165"/>
      <c r="M204" s="166"/>
      <c r="N204" s="120"/>
      <c r="O204" s="120"/>
      <c r="P204" s="120"/>
      <c r="Q204" s="120"/>
    </row>
    <row r="205">
      <c r="C205" s="120"/>
      <c r="D205" s="120"/>
      <c r="E205" s="120"/>
      <c r="F205" s="120"/>
      <c r="G205" s="120"/>
      <c r="H205" s="164"/>
      <c r="I205" s="164"/>
      <c r="J205" s="167">
        <v>46131.0</v>
      </c>
      <c r="K205" s="165"/>
      <c r="L205" s="165"/>
      <c r="M205" s="166"/>
      <c r="N205" s="120"/>
      <c r="O205" s="120"/>
      <c r="P205" s="120"/>
      <c r="Q205" s="120"/>
    </row>
    <row r="206">
      <c r="C206" s="120"/>
      <c r="D206" s="120"/>
      <c r="E206" s="120"/>
      <c r="F206" s="120"/>
      <c r="G206" s="120"/>
      <c r="H206" s="164"/>
      <c r="I206" s="164"/>
      <c r="J206" s="165" t="s">
        <v>204</v>
      </c>
      <c r="K206" s="165"/>
      <c r="L206" s="165"/>
      <c r="M206" s="166"/>
      <c r="N206" s="120"/>
      <c r="O206" s="120"/>
      <c r="P206" s="120"/>
      <c r="Q206" s="120"/>
    </row>
    <row r="207">
      <c r="C207" s="120"/>
      <c r="D207" s="120"/>
      <c r="E207" s="120"/>
      <c r="F207" s="120"/>
      <c r="G207" s="120"/>
      <c r="H207" s="164"/>
      <c r="I207" s="164"/>
      <c r="J207" s="164"/>
      <c r="K207" s="164"/>
      <c r="L207" s="164"/>
      <c r="M207" s="120"/>
      <c r="N207" s="120"/>
      <c r="O207" s="120"/>
      <c r="P207" s="120"/>
      <c r="Q207" s="120"/>
    </row>
    <row r="208">
      <c r="C208" s="120"/>
      <c r="D208" s="120"/>
      <c r="E208" s="120"/>
      <c r="F208" s="120"/>
      <c r="G208" s="120"/>
      <c r="H208" s="164"/>
      <c r="I208" s="164"/>
      <c r="J208" s="164"/>
      <c r="K208" s="164"/>
      <c r="L208" s="164"/>
      <c r="M208" s="120"/>
      <c r="N208" s="120"/>
      <c r="O208" s="120"/>
      <c r="P208" s="120"/>
      <c r="Q208" s="120"/>
    </row>
    <row r="209">
      <c r="C209" s="120"/>
      <c r="D209" s="120"/>
      <c r="E209" s="120"/>
      <c r="F209" s="120"/>
      <c r="G209" s="120"/>
      <c r="H209" s="164"/>
      <c r="I209" s="164"/>
      <c r="J209" s="164"/>
      <c r="K209" s="164"/>
      <c r="L209" s="164"/>
      <c r="M209" s="120"/>
      <c r="N209" s="120"/>
      <c r="O209" s="120"/>
      <c r="P209" s="120"/>
      <c r="Q209" s="120"/>
    </row>
    <row r="210">
      <c r="C210" s="120"/>
      <c r="D210" s="120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</row>
    <row r="211">
      <c r="C211" s="120"/>
      <c r="D211" s="120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</row>
    <row r="212">
      <c r="L212" s="104"/>
      <c r="M212" s="104"/>
      <c r="N212" s="104"/>
      <c r="O212" s="104"/>
      <c r="P212" s="104"/>
      <c r="Q212" s="104"/>
    </row>
    <row r="213">
      <c r="L213" s="104"/>
      <c r="M213" s="104"/>
      <c r="N213" s="104"/>
      <c r="O213" s="104"/>
      <c r="P213" s="104"/>
      <c r="Q213" s="104"/>
    </row>
    <row r="214">
      <c r="F214" s="168"/>
    </row>
    <row r="215">
      <c r="F215" s="112"/>
      <c r="G215" s="157"/>
      <c r="H215" s="157"/>
      <c r="I215" s="157"/>
      <c r="J215" s="157"/>
      <c r="K215" s="157"/>
      <c r="L215" s="157"/>
      <c r="M215" s="157"/>
    </row>
    <row r="216">
      <c r="F216" s="157"/>
      <c r="G216" s="157"/>
      <c r="H216" s="157"/>
      <c r="I216" s="157"/>
      <c r="J216" s="157"/>
      <c r="K216" s="157"/>
      <c r="L216" s="157"/>
      <c r="M216" s="157"/>
    </row>
    <row r="217">
      <c r="F217" s="157"/>
      <c r="G217" s="157"/>
      <c r="H217" s="157"/>
      <c r="I217" s="157"/>
      <c r="J217" s="157"/>
      <c r="K217" s="157"/>
      <c r="L217" s="157"/>
      <c r="M217" s="157"/>
    </row>
    <row r="218">
      <c r="F218" s="157"/>
      <c r="G218" s="157"/>
      <c r="H218" s="157"/>
      <c r="I218" s="157"/>
      <c r="J218" s="157"/>
      <c r="K218" s="157"/>
      <c r="L218" s="157"/>
      <c r="M218" s="157"/>
    </row>
    <row r="219">
      <c r="F219" s="157"/>
      <c r="G219" s="157"/>
      <c r="H219" s="157"/>
      <c r="I219" s="157"/>
      <c r="J219" s="157"/>
      <c r="K219" s="157"/>
      <c r="L219" s="157"/>
      <c r="M219" s="157"/>
    </row>
    <row r="220">
      <c r="F220" s="157"/>
      <c r="G220" s="157"/>
      <c r="H220" s="157"/>
      <c r="I220" s="157"/>
      <c r="J220" s="157"/>
      <c r="K220" s="157"/>
      <c r="L220" s="157"/>
      <c r="M220" s="157"/>
    </row>
    <row r="221">
      <c r="F221" s="157"/>
      <c r="G221" s="157"/>
      <c r="H221" s="157"/>
      <c r="I221" s="157"/>
      <c r="J221" s="157"/>
      <c r="K221" s="157"/>
      <c r="L221" s="157"/>
      <c r="M221" s="157"/>
    </row>
    <row r="222">
      <c r="F222" s="112"/>
      <c r="G222" s="112"/>
      <c r="H222" s="112"/>
      <c r="I222" s="112"/>
      <c r="J222" s="112"/>
      <c r="K222" s="112"/>
      <c r="L222" s="112"/>
      <c r="M222" s="112"/>
    </row>
    <row r="223">
      <c r="F223" s="112"/>
      <c r="G223" s="112"/>
      <c r="H223" s="112"/>
      <c r="I223" s="112"/>
      <c r="J223" s="112"/>
      <c r="K223" s="112"/>
      <c r="L223" s="112"/>
      <c r="M223" s="112"/>
    </row>
    <row r="224">
      <c r="F224" s="112"/>
      <c r="G224" s="112"/>
      <c r="H224" s="112"/>
      <c r="I224" s="112"/>
      <c r="J224" s="112"/>
      <c r="K224" s="112"/>
      <c r="L224" s="112"/>
      <c r="M224" s="112"/>
    </row>
    <row r="225">
      <c r="F225" s="112"/>
      <c r="G225" s="112"/>
      <c r="H225" s="112"/>
      <c r="I225" s="112"/>
      <c r="J225" s="112"/>
      <c r="K225" s="112"/>
      <c r="L225" s="112"/>
      <c r="M225" s="112"/>
    </row>
    <row r="226">
      <c r="F226" s="112"/>
      <c r="G226" s="112"/>
      <c r="H226" s="112"/>
      <c r="I226" s="112"/>
      <c r="J226" s="112"/>
      <c r="K226" s="112"/>
      <c r="L226" s="112"/>
      <c r="M226" s="112"/>
    </row>
  </sheetData>
  <mergeCells count="109">
    <mergeCell ref="G15:H15"/>
    <mergeCell ref="K15:L15"/>
    <mergeCell ref="O15:P15"/>
    <mergeCell ref="G16:H16"/>
    <mergeCell ref="K16:L16"/>
    <mergeCell ref="B14:D14"/>
    <mergeCell ref="B15:D15"/>
    <mergeCell ref="B16:D16"/>
    <mergeCell ref="J8:L8"/>
    <mergeCell ref="J9:K9"/>
    <mergeCell ref="B13:E13"/>
    <mergeCell ref="B9:D9"/>
    <mergeCell ref="B10:D10"/>
    <mergeCell ref="B11:D11"/>
    <mergeCell ref="K13:M13"/>
    <mergeCell ref="O13:Q13"/>
    <mergeCell ref="G14:H14"/>
    <mergeCell ref="K14:L14"/>
    <mergeCell ref="O14:P14"/>
    <mergeCell ref="J10:K10"/>
    <mergeCell ref="B2:R2"/>
    <mergeCell ref="B8:D8"/>
    <mergeCell ref="G30:H30"/>
    <mergeCell ref="G31:H31"/>
    <mergeCell ref="G32:H32"/>
    <mergeCell ref="G33:H33"/>
    <mergeCell ref="G18:H18"/>
    <mergeCell ref="G19:H19"/>
    <mergeCell ref="G20:H20"/>
    <mergeCell ref="G26:I26"/>
    <mergeCell ref="G27:H27"/>
    <mergeCell ref="G28:H28"/>
    <mergeCell ref="G29:H29"/>
    <mergeCell ref="B19:D19"/>
    <mergeCell ref="B20:D20"/>
    <mergeCell ref="B26:E26"/>
    <mergeCell ref="B27:D27"/>
    <mergeCell ref="B28:D28"/>
    <mergeCell ref="B29:D29"/>
    <mergeCell ref="B30:D30"/>
    <mergeCell ref="B31:D31"/>
    <mergeCell ref="B39:D39"/>
    <mergeCell ref="B40:D40"/>
    <mergeCell ref="B41:D41"/>
    <mergeCell ref="B42:D42"/>
    <mergeCell ref="B43:D43"/>
    <mergeCell ref="B44:D44"/>
    <mergeCell ref="K20:L20"/>
    <mergeCell ref="K21:L21"/>
    <mergeCell ref="K22:L22"/>
    <mergeCell ref="G17:H17"/>
    <mergeCell ref="K17:L17"/>
    <mergeCell ref="K18:L18"/>
    <mergeCell ref="K19:L19"/>
    <mergeCell ref="B17:D17"/>
    <mergeCell ref="B18:D18"/>
    <mergeCell ref="B45:D45"/>
    <mergeCell ref="B46:D46"/>
    <mergeCell ref="B47:D47"/>
    <mergeCell ref="B53:D53"/>
    <mergeCell ref="B54:D54"/>
    <mergeCell ref="B55:D55"/>
    <mergeCell ref="B56:D56"/>
    <mergeCell ref="B57:D57"/>
    <mergeCell ref="B58:D58"/>
    <mergeCell ref="B60:D60"/>
    <mergeCell ref="B61:D61"/>
    <mergeCell ref="B62:D62"/>
    <mergeCell ref="B63:D63"/>
    <mergeCell ref="B70:D70"/>
    <mergeCell ref="J143:O143"/>
    <mergeCell ref="D156:F156"/>
    <mergeCell ref="H156:J156"/>
    <mergeCell ref="B71:D71"/>
    <mergeCell ref="B143:H143"/>
    <mergeCell ref="B153:I153"/>
    <mergeCell ref="B154:E154"/>
    <mergeCell ref="G157:I157"/>
    <mergeCell ref="G158:I158"/>
    <mergeCell ref="B157:E157"/>
    <mergeCell ref="B158:E158"/>
    <mergeCell ref="B159:E159"/>
    <mergeCell ref="B160:E160"/>
    <mergeCell ref="B195:D195"/>
    <mergeCell ref="B196:D196"/>
    <mergeCell ref="G161:I161"/>
    <mergeCell ref="G162:I162"/>
    <mergeCell ref="B161:E161"/>
    <mergeCell ref="B162:E162"/>
    <mergeCell ref="B163:E163"/>
    <mergeCell ref="B167:H167"/>
    <mergeCell ref="B182:H182"/>
    <mergeCell ref="K186:M186"/>
    <mergeCell ref="K187:M187"/>
    <mergeCell ref="G159:I159"/>
    <mergeCell ref="G160:I160"/>
    <mergeCell ref="F214:M214"/>
    <mergeCell ref="K167:N167"/>
    <mergeCell ref="K183:M183"/>
    <mergeCell ref="K184:M184"/>
    <mergeCell ref="K185:M185"/>
    <mergeCell ref="K188:M188"/>
    <mergeCell ref="K157:O157"/>
    <mergeCell ref="K158:O158"/>
    <mergeCell ref="K159:O159"/>
    <mergeCell ref="K160:O160"/>
    <mergeCell ref="K161:O161"/>
    <mergeCell ref="K162:O162"/>
    <mergeCell ref="K182:P182"/>
  </mergeCells>
  <printOptions gridLines="1" horizontalCentered="1"/>
  <pageMargins bottom="0.75" footer="0.0" header="0.0" left="0.25" right="0.25" top="0.75"/>
  <pageSetup cellComments="atEnd" orientation="portrait" pageOrder="overThenDown" paperHeight="20in" paperWidth="9in"/>
  <drawing r:id="rId1"/>
</worksheet>
</file>